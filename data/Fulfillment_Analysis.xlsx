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Order Data" sheetId="1" state="visible" r:id="rId3"/>
    <sheet name="Stage Summary" sheetId="2" state="visible" r:id="rId4"/>
    <sheet name="Cutoff Analysis" sheetId="3" state="visible" r:id="rId5"/>
    <sheet name="PowerBI_Import_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<sst xmlns="http://schemas.openxmlformats.org/spreadsheetml/2006/main" count="2448" uniqueCount="449">
  <si>
    <t xml:space="preserve">Order Fulfillment — Raw Extract (Sample)</t>
  </si>
  <si>
    <t xml:space="preserve">Source: order management system export, 6-month window | Units: hours unless noted</t>
  </si>
  <si>
    <t xml:space="preserve">Order ID</t>
  </si>
  <si>
    <t xml:space="preserve">Site</t>
  </si>
  <si>
    <t xml:space="preserve">Order Type</t>
  </si>
  <si>
    <t xml:space="preserve">Confirmed At</t>
  </si>
  <si>
    <t xml:space="preserve">Allocated At</t>
  </si>
  <si>
    <t xml:space="preserve">Picked At</t>
  </si>
  <si>
    <t xml:space="preserve">Packed At</t>
  </si>
  <si>
    <t xml:space="preserve">Carrier Handoff At</t>
  </si>
  <si>
    <t xml:space="preserve">Confirm Hour</t>
  </si>
  <si>
    <t xml:space="preserve">Hrs: Confirm→Allocate</t>
  </si>
  <si>
    <t xml:space="preserve">Hrs: Allocate→Pick</t>
  </si>
  <si>
    <t xml:space="preserve">Hrs: Pick→Pack</t>
  </si>
  <si>
    <t xml:space="preserve">Hrs: Pack→Handoff</t>
  </si>
  <si>
    <t xml:space="preserve">Total Hrs: Confirm→Handoff</t>
  </si>
  <si>
    <t xml:space="preserve">ORD-100001</t>
  </si>
  <si>
    <t xml:space="preserve">Site B - Reno</t>
  </si>
  <si>
    <t xml:space="preserve">Standard</t>
  </si>
  <si>
    <t xml:space="preserve">ORD-100002</t>
  </si>
  <si>
    <t xml:space="preserve">Site A - Dallas</t>
  </si>
  <si>
    <t xml:space="preserve">ORD-100003</t>
  </si>
  <si>
    <t xml:space="preserve">ORD-100004</t>
  </si>
  <si>
    <t xml:space="preserve">ORD-100005</t>
  </si>
  <si>
    <t xml:space="preserve">Site C - Columbus</t>
  </si>
  <si>
    <t xml:space="preserve">ORD-100006</t>
  </si>
  <si>
    <t xml:space="preserve">ORD-100007</t>
  </si>
  <si>
    <t xml:space="preserve">ORD-100008</t>
  </si>
  <si>
    <t xml:space="preserve">ORD-100009</t>
  </si>
  <si>
    <t xml:space="preserve">ORD-100010</t>
  </si>
  <si>
    <t xml:space="preserve">ORD-100011</t>
  </si>
  <si>
    <t xml:space="preserve">ORD-100012</t>
  </si>
  <si>
    <t xml:space="preserve">ORD-100013</t>
  </si>
  <si>
    <t xml:space="preserve">ORD-100014</t>
  </si>
  <si>
    <t xml:space="preserve">ORD-100015</t>
  </si>
  <si>
    <t xml:space="preserve">Express</t>
  </si>
  <si>
    <t xml:space="preserve">ORD-100016</t>
  </si>
  <si>
    <t xml:space="preserve">ORD-100017</t>
  </si>
  <si>
    <t xml:space="preserve">ORD-100018</t>
  </si>
  <si>
    <t xml:space="preserve">ORD-100019</t>
  </si>
  <si>
    <t xml:space="preserve">ORD-100020</t>
  </si>
  <si>
    <t xml:space="preserve">ORD-100021</t>
  </si>
  <si>
    <t xml:space="preserve">ORD-100022</t>
  </si>
  <si>
    <t xml:space="preserve">ORD-100023</t>
  </si>
  <si>
    <t xml:space="preserve">ORD-100024</t>
  </si>
  <si>
    <t xml:space="preserve">ORD-100025</t>
  </si>
  <si>
    <t xml:space="preserve">ORD-100026</t>
  </si>
  <si>
    <t xml:space="preserve">ORD-100027</t>
  </si>
  <si>
    <t xml:space="preserve">ORD-100028</t>
  </si>
  <si>
    <t xml:space="preserve">ORD-100029</t>
  </si>
  <si>
    <t xml:space="preserve">ORD-100030</t>
  </si>
  <si>
    <t xml:space="preserve">ORD-100031</t>
  </si>
  <si>
    <t xml:space="preserve">ORD-100032</t>
  </si>
  <si>
    <t xml:space="preserve">Bulk</t>
  </si>
  <si>
    <t xml:space="preserve">ORD-100033</t>
  </si>
  <si>
    <t xml:space="preserve">ORD-100034</t>
  </si>
  <si>
    <t xml:space="preserve">ORD-100035</t>
  </si>
  <si>
    <t xml:space="preserve">ORD-100036</t>
  </si>
  <si>
    <t xml:space="preserve">ORD-100037</t>
  </si>
  <si>
    <t xml:space="preserve">ORD-100038</t>
  </si>
  <si>
    <t xml:space="preserve">ORD-100039</t>
  </si>
  <si>
    <t xml:space="preserve">ORD-100040</t>
  </si>
  <si>
    <t xml:space="preserve">ORD-100041</t>
  </si>
  <si>
    <t xml:space="preserve">ORD-100042</t>
  </si>
  <si>
    <t xml:space="preserve">ORD-100043</t>
  </si>
  <si>
    <t xml:space="preserve">ORD-100044</t>
  </si>
  <si>
    <t xml:space="preserve">ORD-100045</t>
  </si>
  <si>
    <t xml:space="preserve">ORD-100046</t>
  </si>
  <si>
    <t xml:space="preserve">ORD-100047</t>
  </si>
  <si>
    <t xml:space="preserve">ORD-100048</t>
  </si>
  <si>
    <t xml:space="preserve">ORD-100049</t>
  </si>
  <si>
    <t xml:space="preserve">ORD-100050</t>
  </si>
  <si>
    <t xml:space="preserve">ORD-100051</t>
  </si>
  <si>
    <t xml:space="preserve">ORD-100052</t>
  </si>
  <si>
    <t xml:space="preserve">ORD-100053</t>
  </si>
  <si>
    <t xml:space="preserve">ORD-100054</t>
  </si>
  <si>
    <t xml:space="preserve">ORD-100055</t>
  </si>
  <si>
    <t xml:space="preserve">ORD-100056</t>
  </si>
  <si>
    <t xml:space="preserve">ORD-100057</t>
  </si>
  <si>
    <t xml:space="preserve">ORD-100058</t>
  </si>
  <si>
    <t xml:space="preserve">ORD-100059</t>
  </si>
  <si>
    <t xml:space="preserve">ORD-100060</t>
  </si>
  <si>
    <t xml:space="preserve">ORD-100061</t>
  </si>
  <si>
    <t xml:space="preserve">ORD-100062</t>
  </si>
  <si>
    <t xml:space="preserve">ORD-100063</t>
  </si>
  <si>
    <t xml:space="preserve">ORD-100064</t>
  </si>
  <si>
    <t xml:space="preserve">ORD-100065</t>
  </si>
  <si>
    <t xml:space="preserve">ORD-100066</t>
  </si>
  <si>
    <t xml:space="preserve">ORD-100067</t>
  </si>
  <si>
    <t xml:space="preserve">ORD-100068</t>
  </si>
  <si>
    <t xml:space="preserve">ORD-100069</t>
  </si>
  <si>
    <t xml:space="preserve">ORD-100070</t>
  </si>
  <si>
    <t xml:space="preserve">ORD-100071</t>
  </si>
  <si>
    <t xml:space="preserve">ORD-100072</t>
  </si>
  <si>
    <t xml:space="preserve">ORD-100073</t>
  </si>
  <si>
    <t xml:space="preserve">ORD-100074</t>
  </si>
  <si>
    <t xml:space="preserve">ORD-100075</t>
  </si>
  <si>
    <t xml:space="preserve">ORD-100076</t>
  </si>
  <si>
    <t xml:space="preserve">ORD-100077</t>
  </si>
  <si>
    <t xml:space="preserve">ORD-100078</t>
  </si>
  <si>
    <t xml:space="preserve">ORD-100079</t>
  </si>
  <si>
    <t xml:space="preserve">ORD-100080</t>
  </si>
  <si>
    <t xml:space="preserve">ORD-100081</t>
  </si>
  <si>
    <t xml:space="preserve">ORD-100082</t>
  </si>
  <si>
    <t xml:space="preserve">ORD-100083</t>
  </si>
  <si>
    <t xml:space="preserve">ORD-100084</t>
  </si>
  <si>
    <t xml:space="preserve">ORD-100085</t>
  </si>
  <si>
    <t xml:space="preserve">ORD-100086</t>
  </si>
  <si>
    <t xml:space="preserve">ORD-100087</t>
  </si>
  <si>
    <t xml:space="preserve">ORD-100088</t>
  </si>
  <si>
    <t xml:space="preserve">ORD-100089</t>
  </si>
  <si>
    <t xml:space="preserve">ORD-100090</t>
  </si>
  <si>
    <t xml:space="preserve">ORD-100091</t>
  </si>
  <si>
    <t xml:space="preserve">ORD-100092</t>
  </si>
  <si>
    <t xml:space="preserve">ORD-100093</t>
  </si>
  <si>
    <t xml:space="preserve">ORD-100094</t>
  </si>
  <si>
    <t xml:space="preserve">ORD-100095</t>
  </si>
  <si>
    <t xml:space="preserve">ORD-100096</t>
  </si>
  <si>
    <t xml:space="preserve">ORD-100097</t>
  </si>
  <si>
    <t xml:space="preserve">ORD-100098</t>
  </si>
  <si>
    <t xml:space="preserve">ORD-100099</t>
  </si>
  <si>
    <t xml:space="preserve">ORD-100100</t>
  </si>
  <si>
    <t xml:space="preserve">ORD-100101</t>
  </si>
  <si>
    <t xml:space="preserve">ORD-100102</t>
  </si>
  <si>
    <t xml:space="preserve">ORD-100103</t>
  </si>
  <si>
    <t xml:space="preserve">ORD-100104</t>
  </si>
  <si>
    <t xml:space="preserve">ORD-100105</t>
  </si>
  <si>
    <t xml:space="preserve">ORD-100106</t>
  </si>
  <si>
    <t xml:space="preserve">ORD-100107</t>
  </si>
  <si>
    <t xml:space="preserve">ORD-100108</t>
  </si>
  <si>
    <t xml:space="preserve">ORD-100109</t>
  </si>
  <si>
    <t xml:space="preserve">ORD-100110</t>
  </si>
  <si>
    <t xml:space="preserve">ORD-100111</t>
  </si>
  <si>
    <t xml:space="preserve">ORD-100112</t>
  </si>
  <si>
    <t xml:space="preserve">ORD-100113</t>
  </si>
  <si>
    <t xml:space="preserve">ORD-100114</t>
  </si>
  <si>
    <t xml:space="preserve">ORD-100115</t>
  </si>
  <si>
    <t xml:space="preserve">ORD-100116</t>
  </si>
  <si>
    <t xml:space="preserve">ORD-100117</t>
  </si>
  <si>
    <t xml:space="preserve">ORD-100118</t>
  </si>
  <si>
    <t xml:space="preserve">ORD-100119</t>
  </si>
  <si>
    <t xml:space="preserve">ORD-100120</t>
  </si>
  <si>
    <t xml:space="preserve">ORD-100121</t>
  </si>
  <si>
    <t xml:space="preserve">ORD-100122</t>
  </si>
  <si>
    <t xml:space="preserve">ORD-100123</t>
  </si>
  <si>
    <t xml:space="preserve">ORD-100124</t>
  </si>
  <si>
    <t xml:space="preserve">ORD-100125</t>
  </si>
  <si>
    <t xml:space="preserve">ORD-100126</t>
  </si>
  <si>
    <t xml:space="preserve">ORD-100127</t>
  </si>
  <si>
    <t xml:space="preserve">ORD-100128</t>
  </si>
  <si>
    <t xml:space="preserve">ORD-100129</t>
  </si>
  <si>
    <t xml:space="preserve">ORD-100130</t>
  </si>
  <si>
    <t xml:space="preserve">ORD-100131</t>
  </si>
  <si>
    <t xml:space="preserve">ORD-100132</t>
  </si>
  <si>
    <t xml:space="preserve">ORD-100133</t>
  </si>
  <si>
    <t xml:space="preserve">ORD-100134</t>
  </si>
  <si>
    <t xml:space="preserve">ORD-100135</t>
  </si>
  <si>
    <t xml:space="preserve">ORD-100136</t>
  </si>
  <si>
    <t xml:space="preserve">ORD-100137</t>
  </si>
  <si>
    <t xml:space="preserve">ORD-100138</t>
  </si>
  <si>
    <t xml:space="preserve">ORD-100139</t>
  </si>
  <si>
    <t xml:space="preserve">ORD-100140</t>
  </si>
  <si>
    <t xml:space="preserve">ORD-100141</t>
  </si>
  <si>
    <t xml:space="preserve">ORD-100142</t>
  </si>
  <si>
    <t xml:space="preserve">ORD-100143</t>
  </si>
  <si>
    <t xml:space="preserve">ORD-100144</t>
  </si>
  <si>
    <t xml:space="preserve">ORD-100145</t>
  </si>
  <si>
    <t xml:space="preserve">ORD-100146</t>
  </si>
  <si>
    <t xml:space="preserve">ORD-100147</t>
  </si>
  <si>
    <t xml:space="preserve">ORD-100148</t>
  </si>
  <si>
    <t xml:space="preserve">ORD-100149</t>
  </si>
  <si>
    <t xml:space="preserve">ORD-100150</t>
  </si>
  <si>
    <t xml:space="preserve">ORD-100151</t>
  </si>
  <si>
    <t xml:space="preserve">ORD-100152</t>
  </si>
  <si>
    <t xml:space="preserve">ORD-100153</t>
  </si>
  <si>
    <t xml:space="preserve">ORD-100154</t>
  </si>
  <si>
    <t xml:space="preserve">ORD-100155</t>
  </si>
  <si>
    <t xml:space="preserve">ORD-100156</t>
  </si>
  <si>
    <t xml:space="preserve">ORD-100157</t>
  </si>
  <si>
    <t xml:space="preserve">ORD-100158</t>
  </si>
  <si>
    <t xml:space="preserve">ORD-100159</t>
  </si>
  <si>
    <t xml:space="preserve">ORD-100160</t>
  </si>
  <si>
    <t xml:space="preserve">ORD-100161</t>
  </si>
  <si>
    <t xml:space="preserve">ORD-100162</t>
  </si>
  <si>
    <t xml:space="preserve">ORD-100163</t>
  </si>
  <si>
    <t xml:space="preserve">ORD-100164</t>
  </si>
  <si>
    <t xml:space="preserve">ORD-100165</t>
  </si>
  <si>
    <t xml:space="preserve">ORD-100166</t>
  </si>
  <si>
    <t xml:space="preserve">ORD-100167</t>
  </si>
  <si>
    <t xml:space="preserve">ORD-100168</t>
  </si>
  <si>
    <t xml:space="preserve">ORD-100169</t>
  </si>
  <si>
    <t xml:space="preserve">ORD-100170</t>
  </si>
  <si>
    <t xml:space="preserve">ORD-100171</t>
  </si>
  <si>
    <t xml:space="preserve">ORD-100172</t>
  </si>
  <si>
    <t xml:space="preserve">ORD-100173</t>
  </si>
  <si>
    <t xml:space="preserve">ORD-100174</t>
  </si>
  <si>
    <t xml:space="preserve">ORD-100175</t>
  </si>
  <si>
    <t xml:space="preserve">ORD-100176</t>
  </si>
  <si>
    <t xml:space="preserve">ORD-100177</t>
  </si>
  <si>
    <t xml:space="preserve">ORD-100178</t>
  </si>
  <si>
    <t xml:space="preserve">ORD-100179</t>
  </si>
  <si>
    <t xml:space="preserve">ORD-100180</t>
  </si>
  <si>
    <t xml:space="preserve">ORD-100181</t>
  </si>
  <si>
    <t xml:space="preserve">ORD-100182</t>
  </si>
  <si>
    <t xml:space="preserve">ORD-100183</t>
  </si>
  <si>
    <t xml:space="preserve">ORD-100184</t>
  </si>
  <si>
    <t xml:space="preserve">ORD-100185</t>
  </si>
  <si>
    <t xml:space="preserve">ORD-100186</t>
  </si>
  <si>
    <t xml:space="preserve">ORD-100187</t>
  </si>
  <si>
    <t xml:space="preserve">ORD-100188</t>
  </si>
  <si>
    <t xml:space="preserve">ORD-100189</t>
  </si>
  <si>
    <t xml:space="preserve">ORD-100190</t>
  </si>
  <si>
    <t xml:space="preserve">ORD-100191</t>
  </si>
  <si>
    <t xml:space="preserve">ORD-100192</t>
  </si>
  <si>
    <t xml:space="preserve">ORD-100193</t>
  </si>
  <si>
    <t xml:space="preserve">ORD-100194</t>
  </si>
  <si>
    <t xml:space="preserve">ORD-100195</t>
  </si>
  <si>
    <t xml:space="preserve">ORD-100196</t>
  </si>
  <si>
    <t xml:space="preserve">ORD-100197</t>
  </si>
  <si>
    <t xml:space="preserve">ORD-100198</t>
  </si>
  <si>
    <t xml:space="preserve">ORD-100199</t>
  </si>
  <si>
    <t xml:space="preserve">ORD-100200</t>
  </si>
  <si>
    <t xml:space="preserve">ORD-100201</t>
  </si>
  <si>
    <t xml:space="preserve">ORD-100202</t>
  </si>
  <si>
    <t xml:space="preserve">ORD-100203</t>
  </si>
  <si>
    <t xml:space="preserve">ORD-100204</t>
  </si>
  <si>
    <t xml:space="preserve">ORD-100205</t>
  </si>
  <si>
    <t xml:space="preserve">ORD-100206</t>
  </si>
  <si>
    <t xml:space="preserve">ORD-100207</t>
  </si>
  <si>
    <t xml:space="preserve">ORD-100208</t>
  </si>
  <si>
    <t xml:space="preserve">ORD-100209</t>
  </si>
  <si>
    <t xml:space="preserve">ORD-100210</t>
  </si>
  <si>
    <t xml:space="preserve">ORD-100211</t>
  </si>
  <si>
    <t xml:space="preserve">ORD-100212</t>
  </si>
  <si>
    <t xml:space="preserve">ORD-100213</t>
  </si>
  <si>
    <t xml:space="preserve">ORD-100214</t>
  </si>
  <si>
    <t xml:space="preserve">ORD-100215</t>
  </si>
  <si>
    <t xml:space="preserve">ORD-100216</t>
  </si>
  <si>
    <t xml:space="preserve">ORD-100217</t>
  </si>
  <si>
    <t xml:space="preserve">ORD-100218</t>
  </si>
  <si>
    <t xml:space="preserve">ORD-100219</t>
  </si>
  <si>
    <t xml:space="preserve">ORD-100220</t>
  </si>
  <si>
    <t xml:space="preserve">ORD-100221</t>
  </si>
  <si>
    <t xml:space="preserve">ORD-100222</t>
  </si>
  <si>
    <t xml:space="preserve">ORD-100223</t>
  </si>
  <si>
    <t xml:space="preserve">ORD-100224</t>
  </si>
  <si>
    <t xml:space="preserve">ORD-100225</t>
  </si>
  <si>
    <t xml:space="preserve">ORD-100226</t>
  </si>
  <si>
    <t xml:space="preserve">ORD-100227</t>
  </si>
  <si>
    <t xml:space="preserve">ORD-100228</t>
  </si>
  <si>
    <t xml:space="preserve">ORD-100229</t>
  </si>
  <si>
    <t xml:space="preserve">ORD-100230</t>
  </si>
  <si>
    <t xml:space="preserve">ORD-100231</t>
  </si>
  <si>
    <t xml:space="preserve">ORD-100232</t>
  </si>
  <si>
    <t xml:space="preserve">ORD-100233</t>
  </si>
  <si>
    <t xml:space="preserve">ORD-100234</t>
  </si>
  <si>
    <t xml:space="preserve">ORD-100235</t>
  </si>
  <si>
    <t xml:space="preserve">ORD-100236</t>
  </si>
  <si>
    <t xml:space="preserve">ORD-100237</t>
  </si>
  <si>
    <t xml:space="preserve">ORD-100238</t>
  </si>
  <si>
    <t xml:space="preserve">ORD-100239</t>
  </si>
  <si>
    <t xml:space="preserve">ORD-100240</t>
  </si>
  <si>
    <t xml:space="preserve">ORD-100241</t>
  </si>
  <si>
    <t xml:space="preserve">ORD-100242</t>
  </si>
  <si>
    <t xml:space="preserve">ORD-100243</t>
  </si>
  <si>
    <t xml:space="preserve">ORD-100244</t>
  </si>
  <si>
    <t xml:space="preserve">ORD-100245</t>
  </si>
  <si>
    <t xml:space="preserve">ORD-100246</t>
  </si>
  <si>
    <t xml:space="preserve">ORD-100247</t>
  </si>
  <si>
    <t xml:space="preserve">ORD-100248</t>
  </si>
  <si>
    <t xml:space="preserve">ORD-100249</t>
  </si>
  <si>
    <t xml:space="preserve">ORD-100250</t>
  </si>
  <si>
    <t xml:space="preserve">ORD-100251</t>
  </si>
  <si>
    <t xml:space="preserve">ORD-100252</t>
  </si>
  <si>
    <t xml:space="preserve">ORD-100253</t>
  </si>
  <si>
    <t xml:space="preserve">ORD-100254</t>
  </si>
  <si>
    <t xml:space="preserve">ORD-100255</t>
  </si>
  <si>
    <t xml:space="preserve">ORD-100256</t>
  </si>
  <si>
    <t xml:space="preserve">ORD-100257</t>
  </si>
  <si>
    <t xml:space="preserve">ORD-100258</t>
  </si>
  <si>
    <t xml:space="preserve">ORD-100259</t>
  </si>
  <si>
    <t xml:space="preserve">ORD-100260</t>
  </si>
  <si>
    <t xml:space="preserve">ORD-100261</t>
  </si>
  <si>
    <t xml:space="preserve">ORD-100262</t>
  </si>
  <si>
    <t xml:space="preserve">ORD-100263</t>
  </si>
  <si>
    <t xml:space="preserve">ORD-100264</t>
  </si>
  <si>
    <t xml:space="preserve">ORD-100265</t>
  </si>
  <si>
    <t xml:space="preserve">ORD-100266</t>
  </si>
  <si>
    <t xml:space="preserve">ORD-100267</t>
  </si>
  <si>
    <t xml:space="preserve">ORD-100268</t>
  </si>
  <si>
    <t xml:space="preserve">ORD-100269</t>
  </si>
  <si>
    <t xml:space="preserve">ORD-100270</t>
  </si>
  <si>
    <t xml:space="preserve">ORD-100271</t>
  </si>
  <si>
    <t xml:space="preserve">ORD-100272</t>
  </si>
  <si>
    <t xml:space="preserve">ORD-100273</t>
  </si>
  <si>
    <t xml:space="preserve">ORD-100274</t>
  </si>
  <si>
    <t xml:space="preserve">ORD-100275</t>
  </si>
  <si>
    <t xml:space="preserve">ORD-100276</t>
  </si>
  <si>
    <t xml:space="preserve">ORD-100277</t>
  </si>
  <si>
    <t xml:space="preserve">ORD-100278</t>
  </si>
  <si>
    <t xml:space="preserve">ORD-100279</t>
  </si>
  <si>
    <t xml:space="preserve">ORD-100280</t>
  </si>
  <si>
    <t xml:space="preserve">ORD-100281</t>
  </si>
  <si>
    <t xml:space="preserve">ORD-100282</t>
  </si>
  <si>
    <t xml:space="preserve">ORD-100283</t>
  </si>
  <si>
    <t xml:space="preserve">ORD-100284</t>
  </si>
  <si>
    <t xml:space="preserve">ORD-100285</t>
  </si>
  <si>
    <t xml:space="preserve">ORD-100286</t>
  </si>
  <si>
    <t xml:space="preserve">ORD-100287</t>
  </si>
  <si>
    <t xml:space="preserve">ORD-100288</t>
  </si>
  <si>
    <t xml:space="preserve">ORD-100289</t>
  </si>
  <si>
    <t xml:space="preserve">ORD-100290</t>
  </si>
  <si>
    <t xml:space="preserve">ORD-100291</t>
  </si>
  <si>
    <t xml:space="preserve">ORD-100292</t>
  </si>
  <si>
    <t xml:space="preserve">ORD-100293</t>
  </si>
  <si>
    <t xml:space="preserve">ORD-100294</t>
  </si>
  <si>
    <t xml:space="preserve">ORD-100295</t>
  </si>
  <si>
    <t xml:space="preserve">ORD-100296</t>
  </si>
  <si>
    <t xml:space="preserve">ORD-100297</t>
  </si>
  <si>
    <t xml:space="preserve">ORD-100298</t>
  </si>
  <si>
    <t xml:space="preserve">ORD-100299</t>
  </si>
  <si>
    <t xml:space="preserve">ORD-100300</t>
  </si>
  <si>
    <t xml:space="preserve">ORD-100301</t>
  </si>
  <si>
    <t xml:space="preserve">ORD-100302</t>
  </si>
  <si>
    <t xml:space="preserve">ORD-100303</t>
  </si>
  <si>
    <t xml:space="preserve">ORD-100304</t>
  </si>
  <si>
    <t xml:space="preserve">ORD-100305</t>
  </si>
  <si>
    <t xml:space="preserve">ORD-100306</t>
  </si>
  <si>
    <t xml:space="preserve">ORD-100307</t>
  </si>
  <si>
    <t xml:space="preserve">ORD-100308</t>
  </si>
  <si>
    <t xml:space="preserve">ORD-100309</t>
  </si>
  <si>
    <t xml:space="preserve">ORD-100310</t>
  </si>
  <si>
    <t xml:space="preserve">ORD-100311</t>
  </si>
  <si>
    <t xml:space="preserve">ORD-100312</t>
  </si>
  <si>
    <t xml:space="preserve">ORD-100313</t>
  </si>
  <si>
    <t xml:space="preserve">ORD-100314</t>
  </si>
  <si>
    <t xml:space="preserve">ORD-100315</t>
  </si>
  <si>
    <t xml:space="preserve">ORD-100316</t>
  </si>
  <si>
    <t xml:space="preserve">ORD-100317</t>
  </si>
  <si>
    <t xml:space="preserve">ORD-100318</t>
  </si>
  <si>
    <t xml:space="preserve">ORD-100319</t>
  </si>
  <si>
    <t xml:space="preserve">ORD-100320</t>
  </si>
  <si>
    <t xml:space="preserve">ORD-100321</t>
  </si>
  <si>
    <t xml:space="preserve">ORD-100322</t>
  </si>
  <si>
    <t xml:space="preserve">ORD-100323</t>
  </si>
  <si>
    <t xml:space="preserve">ORD-100324</t>
  </si>
  <si>
    <t xml:space="preserve">ORD-100325</t>
  </si>
  <si>
    <t xml:space="preserve">ORD-100326</t>
  </si>
  <si>
    <t xml:space="preserve">ORD-100327</t>
  </si>
  <si>
    <t xml:space="preserve">ORD-100328</t>
  </si>
  <si>
    <t xml:space="preserve">ORD-100329</t>
  </si>
  <si>
    <t xml:space="preserve">ORD-100330</t>
  </si>
  <si>
    <t xml:space="preserve">ORD-100331</t>
  </si>
  <si>
    <t xml:space="preserve">ORD-100332</t>
  </si>
  <si>
    <t xml:space="preserve">ORD-100333</t>
  </si>
  <si>
    <t xml:space="preserve">ORD-100334</t>
  </si>
  <si>
    <t xml:space="preserve">ORD-100335</t>
  </si>
  <si>
    <t xml:space="preserve">ORD-100336</t>
  </si>
  <si>
    <t xml:space="preserve">ORD-100337</t>
  </si>
  <si>
    <t xml:space="preserve">ORD-100338</t>
  </si>
  <si>
    <t xml:space="preserve">ORD-100339</t>
  </si>
  <si>
    <t xml:space="preserve">ORD-100340</t>
  </si>
  <si>
    <t xml:space="preserve">ORD-100341</t>
  </si>
  <si>
    <t xml:space="preserve">ORD-100342</t>
  </si>
  <si>
    <t xml:space="preserve">ORD-100343</t>
  </si>
  <si>
    <t xml:space="preserve">ORD-100344</t>
  </si>
  <si>
    <t xml:space="preserve">ORD-100345</t>
  </si>
  <si>
    <t xml:space="preserve">ORD-100346</t>
  </si>
  <si>
    <t xml:space="preserve">ORD-100347</t>
  </si>
  <si>
    <t xml:space="preserve">ORD-100348</t>
  </si>
  <si>
    <t xml:space="preserve">ORD-100349</t>
  </si>
  <si>
    <t xml:space="preserve">ORD-100350</t>
  </si>
  <si>
    <t xml:space="preserve">ORD-100351</t>
  </si>
  <si>
    <t xml:space="preserve">ORD-100352</t>
  </si>
  <si>
    <t xml:space="preserve">ORD-100353</t>
  </si>
  <si>
    <t xml:space="preserve">ORD-100354</t>
  </si>
  <si>
    <t xml:space="preserve">ORD-100355</t>
  </si>
  <si>
    <t xml:space="preserve">ORD-100356</t>
  </si>
  <si>
    <t xml:space="preserve">ORD-100357</t>
  </si>
  <si>
    <t xml:space="preserve">ORD-100358</t>
  </si>
  <si>
    <t xml:space="preserve">ORD-100359</t>
  </si>
  <si>
    <t xml:space="preserve">ORD-100360</t>
  </si>
  <si>
    <t xml:space="preserve">ORD-100361</t>
  </si>
  <si>
    <t xml:space="preserve">ORD-100362</t>
  </si>
  <si>
    <t xml:space="preserve">ORD-100363</t>
  </si>
  <si>
    <t xml:space="preserve">ORD-100364</t>
  </si>
  <si>
    <t xml:space="preserve">ORD-100365</t>
  </si>
  <si>
    <t xml:space="preserve">ORD-100366</t>
  </si>
  <si>
    <t xml:space="preserve">ORD-100367</t>
  </si>
  <si>
    <t xml:space="preserve">ORD-100368</t>
  </si>
  <si>
    <t xml:space="preserve">ORD-100369</t>
  </si>
  <si>
    <t xml:space="preserve">ORD-100370</t>
  </si>
  <si>
    <t xml:space="preserve">ORD-100371</t>
  </si>
  <si>
    <t xml:space="preserve">ORD-100372</t>
  </si>
  <si>
    <t xml:space="preserve">ORD-100373</t>
  </si>
  <si>
    <t xml:space="preserve">ORD-100374</t>
  </si>
  <si>
    <t xml:space="preserve">ORD-100375</t>
  </si>
  <si>
    <t xml:space="preserve">ORD-100376</t>
  </si>
  <si>
    <t xml:space="preserve">ORD-100377</t>
  </si>
  <si>
    <t xml:space="preserve">ORD-100378</t>
  </si>
  <si>
    <t xml:space="preserve">ORD-100379</t>
  </si>
  <si>
    <t xml:space="preserve">ORD-100380</t>
  </si>
  <si>
    <t xml:space="preserve">ORD-100381</t>
  </si>
  <si>
    <t xml:space="preserve">ORD-100382</t>
  </si>
  <si>
    <t xml:space="preserve">ORD-100383</t>
  </si>
  <si>
    <t xml:space="preserve">ORD-100384</t>
  </si>
  <si>
    <t xml:space="preserve">ORD-100385</t>
  </si>
  <si>
    <t xml:space="preserve">ORD-100386</t>
  </si>
  <si>
    <t xml:space="preserve">ORD-100387</t>
  </si>
  <si>
    <t xml:space="preserve">ORD-100388</t>
  </si>
  <si>
    <t xml:space="preserve">ORD-100389</t>
  </si>
  <si>
    <t xml:space="preserve">ORD-100390</t>
  </si>
  <si>
    <t xml:space="preserve">ORD-100391</t>
  </si>
  <si>
    <t xml:space="preserve">ORD-100392</t>
  </si>
  <si>
    <t xml:space="preserve">ORD-100393</t>
  </si>
  <si>
    <t xml:space="preserve">ORD-100394</t>
  </si>
  <si>
    <t xml:space="preserve">ORD-100395</t>
  </si>
  <si>
    <t xml:space="preserve">ORD-100396</t>
  </si>
  <si>
    <t xml:space="preserve">ORD-100397</t>
  </si>
  <si>
    <t xml:space="preserve">ORD-100398</t>
  </si>
  <si>
    <t xml:space="preserve">ORD-100399</t>
  </si>
  <si>
    <t xml:space="preserve">ORD-100400</t>
  </si>
  <si>
    <t xml:space="preserve">Stage-by-Stage Timing Summary</t>
  </si>
  <si>
    <t xml:space="preserve">All figures calculated live from 'Raw Order Data' via AVERAGEIFS / SUMPRODUCT</t>
  </si>
  <si>
    <t xml:space="preserve">Fulfillment Stage</t>
  </si>
  <si>
    <t xml:space="preserve">Avg Duration (hrs)</t>
  </si>
  <si>
    <t xml:space="preserve">Avg Duration (days)</t>
  </si>
  <si>
    <t xml:space="preserve">% of Total Dispatch Time</t>
  </si>
  <si>
    <t xml:space="preserve">Orders</t>
  </si>
  <si>
    <t xml:space="preserve">Order Confirmation → Inventory Allocation</t>
  </si>
  <si>
    <t xml:space="preserve">Inventory Allocation → Picking</t>
  </si>
  <si>
    <t xml:space="preserve">Picking → Packing</t>
  </si>
  <si>
    <t xml:space="preserve">Packing → Carrier Handoff</t>
  </si>
  <si>
    <t xml:space="preserve">Total (Confirm → Handoff)</t>
  </si>
  <si>
    <t xml:space="preserve">Root Cause — Confirmation Time vs. Allocation Delay</t>
  </si>
  <si>
    <t xml:space="preserve">Tests whether the hour an order is confirmed predicts allocation delay (cutoff effect)</t>
  </si>
  <si>
    <t xml:space="preserve">Confirmation Window</t>
  </si>
  <si>
    <t xml:space="preserve">Avg Hrs Confirm→Allocate</t>
  </si>
  <si>
    <t xml:space="preserve">vs. Morning Baseline</t>
  </si>
  <si>
    <t xml:space="preserve">Before 10:00 (morning)</t>
  </si>
  <si>
    <t xml:space="preserve">10:00–13:59 (midday)</t>
  </si>
  <si>
    <t xml:space="preserve">14:00 and later (afternoon cutoff)</t>
  </si>
  <si>
    <t xml:space="preserve">Clean fact table — formatted for direct Power BI import (Get Data &gt; Excel)</t>
  </si>
  <si>
    <t xml:space="preserve">Confirm Date</t>
  </si>
  <si>
    <t xml:space="preserve">Stage 1 Hrs</t>
  </si>
  <si>
    <t xml:space="preserve">Stage 2 Hrs</t>
  </si>
  <si>
    <t xml:space="preserve">Stage 3 Hrs</t>
  </si>
  <si>
    <t xml:space="preserve">Stage 4 Hrs</t>
  </si>
  <si>
    <t xml:space="preserve">Total Hrs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</si>
</sst>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"/>
    <numFmt numFmtId="166" formatCode="0.0"/>
    <numFmt numFmtId="167" formatCode="0.00"/>
    <numFmt numFmtId="168" formatCode="0%"/>
    <numFmt numFmtId="169" formatCode="\+0%;\-0%"/>
    <numFmt numFmtId="170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Dispatch Time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'Stage Summary'!D4</c:f>
              <c:strCache>
                <c:ptCount val="1"/>
                <c:pt idx="0">
                  <c:v>% of Total Dispatch Time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'Stage Summary'!$A$5:$A$8</c:f>
              <c:strCache>
                <c:ptCount val="4"/>
                <c:pt idx="0">
                  <c:v>Order Confirmation → Inventory Allocation</c:v>
                </c:pt>
                <c:pt idx="1">
                  <c:v>Inventory Allocation → Picking</c:v>
                </c:pt>
                <c:pt idx="2">
                  <c:v>Picking → Packing</c:v>
                </c:pt>
                <c:pt idx="3">
                  <c:v>Packing → Carrier Handoff</c:v>
                </c:pt>
              </c:strCache>
            </c:strRef>
          </c:cat>
          <c:val>
            <c:numRef>
              <c:f>'Stage Summary'!$D$5:$D$8</c:f>
              <c:numCache>
                <c:formatCode>0%</c:formatCode>
                <c:ptCount val="4"/>
                <c:pt idx="0">
                  <c:v>0.465618514558833</c:v>
                </c:pt>
                <c:pt idx="1">
                  <c:v>0.179655367586944</c:v>
                </c:pt>
                <c:pt idx="2">
                  <c:v>0.21762782214955</c:v>
                </c:pt>
                <c:pt idx="3">
                  <c:v>0.137098295704673</c:v>
                </c:pt>
              </c:numCache>
            </c:numRef>
          </c:val>
        </c:ser>
        <c:gapWidth val="150"/>
        <c:overlap val="0"/>
        <c:axId val="46120160"/>
        <c:axId val="75226206"/>
      </c:barChart>
      <c:catAx>
        <c:axId val="461201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26206"/>
        <c:crosses val="autoZero"/>
        <c:auto val="1"/>
        <c:lblAlgn val="ctr"/>
        <c:lblOffset val="100"/>
        <c:noMultiLvlLbl val="0"/>
      </c:catAx>
      <c:valAx>
        <c:axId val="75226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20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Delay by Confirmation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'Cutoff Analysis'!B4</c:f>
              <c:strCache>
                <c:ptCount val="1"/>
                <c:pt idx="0">
                  <c:v>Avg Hrs Confirm→Allocate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'Cutoff Analysis'!$A$5:$A$7</c:f>
              <c:strCache>
                <c:ptCount val="3"/>
                <c:pt idx="0">
                  <c:v>Before 10:00 (morning)</c:v>
                </c:pt>
                <c:pt idx="1">
                  <c:v>10:00–13:59 (midday)</c:v>
                </c:pt>
                <c:pt idx="2">
                  <c:v>14:00 and later (afternoon cutoff)</c:v>
                </c:pt>
              </c:strCache>
            </c:strRef>
          </c:cat>
          <c:val>
            <c:numRef>
              <c:f>'Cutoff Analysis'!$B$5:$B$7</c:f>
              <c:numCache>
                <c:formatCode>0.0</c:formatCode>
                <c:ptCount val="3"/>
                <c:pt idx="0">
                  <c:v>4.47435897435897</c:v>
                </c:pt>
                <c:pt idx="1">
                  <c:v>7.95471698113208</c:v>
                </c:pt>
                <c:pt idx="2">
                  <c:v>25.0435294117647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408367"/>
        <c:axId val="79579380"/>
      </c:lineChart>
      <c:catAx>
        <c:axId val="3540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79380"/>
        <c:crosses val="autoZero"/>
        <c:auto val="1"/>
        <c:lblAlgn val="ctr"/>
        <c:lblOffset val="100"/>
        <c:noMultiLvlLbl val="0"/>
      </c:catAx>
      <c:valAx>
        <c:axId val="79579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hrs to allocate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08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171000</xdr:rowOff>
    </xdr:from>
    <xdr:to>
      <xdr:col>4</xdr:col>
      <xdr:colOff>417960</xdr:colOff>
      <xdr:row>26</xdr:row>
      <xdr:rowOff>172080</xdr:rowOff>
    </xdr:to>
    <xdr:graphicFrame>
      <xdr:nvGraphicFramePr>
        <xdr:cNvPr id="0" name="Chart 1"/>
        <xdr:cNvGraphicFramePr/>
      </xdr:nvGraphicFramePr>
      <xdr:xfrm>
        <a:off x="0" y="2095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171000</xdr:rowOff>
    </xdr:from>
    <xdr:to>
      <xdr:col>3</xdr:col>
      <xdr:colOff>1404720</xdr:colOff>
      <xdr:row>24</xdr:row>
      <xdr:rowOff>172080</xdr:rowOff>
    </xdr:to>
    <xdr:graphicFrame>
      <xdr:nvGraphicFramePr>
        <xdr:cNvPr id="1" name="Chart 1"/>
        <xdr:cNvGraphicFramePr/>
      </xdr:nvGraphicFramePr>
      <xdr:xfrm>
        <a:off x="0" y="1714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8" min="4" style="0" width="17"/>
    <col collapsed="false" customWidth="true" hidden="false" outlineLevel="0" max="9" min="9" style="0" width="11"/>
    <col collapsed="false" customWidth="true" hidden="false" outlineLevel="0" max="11" min="10" style="0" width="17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5" t="n">
        <v>46097.5055555556</v>
      </c>
      <c r="E5" s="5" t="n">
        <v>46097.9180555556</v>
      </c>
      <c r="F5" s="5" t="n">
        <v>46098.2847222222</v>
      </c>
      <c r="G5" s="5" t="n">
        <v>46098.8180555556</v>
      </c>
      <c r="H5" s="5" t="n">
        <v>46098.9263888889</v>
      </c>
      <c r="I5" s="4" t="n">
        <v>12</v>
      </c>
      <c r="J5" s="6" t="n">
        <v>9.9</v>
      </c>
      <c r="K5" s="6" t="n">
        <v>8.8</v>
      </c>
      <c r="L5" s="6" t="n">
        <v>12.8</v>
      </c>
      <c r="M5" s="6" t="n">
        <v>2.6</v>
      </c>
      <c r="N5" s="6" t="n">
        <v>34.1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18</v>
      </c>
      <c r="D6" s="5" t="n">
        <v>46082.4847222222</v>
      </c>
      <c r="E6" s="5" t="n">
        <v>46082.6597222222</v>
      </c>
      <c r="F6" s="5" t="n">
        <v>46082.8263888889</v>
      </c>
      <c r="G6" s="5" t="n">
        <v>46083.2472222222</v>
      </c>
      <c r="H6" s="5" t="n">
        <v>46083.4888888889</v>
      </c>
      <c r="I6" s="4" t="n">
        <v>11</v>
      </c>
      <c r="J6" s="6" t="n">
        <v>4.2</v>
      </c>
      <c r="K6" s="6" t="n">
        <v>4</v>
      </c>
      <c r="L6" s="6" t="n">
        <v>10.1</v>
      </c>
      <c r="M6" s="6" t="n">
        <v>5.8</v>
      </c>
      <c r="N6" s="6" t="n">
        <v>24.1</v>
      </c>
    </row>
    <row r="7" customFormat="false" ht="15" hidden="false" customHeight="false" outlineLevel="0" collapsed="false">
      <c r="A7" s="4" t="s">
        <v>21</v>
      </c>
      <c r="B7" s="4" t="s">
        <v>20</v>
      </c>
      <c r="C7" s="4" t="s">
        <v>18</v>
      </c>
      <c r="D7" s="5" t="n">
        <v>46028.7569444445</v>
      </c>
      <c r="E7" s="5" t="n">
        <v>46029.8819444445</v>
      </c>
      <c r="F7" s="5" t="n">
        <v>46030.1069444444</v>
      </c>
      <c r="G7" s="5" t="n">
        <v>46030.3027777778</v>
      </c>
      <c r="H7" s="5" t="n">
        <v>46030.6652777778</v>
      </c>
      <c r="I7" s="4" t="n">
        <v>18</v>
      </c>
      <c r="J7" s="6" t="n">
        <v>27</v>
      </c>
      <c r="K7" s="6" t="n">
        <v>5.4</v>
      </c>
      <c r="L7" s="6" t="n">
        <v>4.7</v>
      </c>
      <c r="M7" s="6" t="n">
        <v>8.7</v>
      </c>
      <c r="N7" s="6" t="n">
        <v>45.8</v>
      </c>
    </row>
    <row r="8" customFormat="false" ht="15" hidden="false" customHeight="false" outlineLevel="0" collapsed="false">
      <c r="A8" s="4" t="s">
        <v>22</v>
      </c>
      <c r="B8" s="4" t="s">
        <v>20</v>
      </c>
      <c r="C8" s="4" t="s">
        <v>18</v>
      </c>
      <c r="D8" s="5" t="n">
        <v>46051.5569444444</v>
      </c>
      <c r="E8" s="5" t="n">
        <v>46051.9236111111</v>
      </c>
      <c r="F8" s="5" t="n">
        <v>46052.3444444445</v>
      </c>
      <c r="G8" s="5" t="n">
        <v>46052.8027777778</v>
      </c>
      <c r="H8" s="5" t="n">
        <v>46053.0444444444</v>
      </c>
      <c r="I8" s="4" t="n">
        <v>13</v>
      </c>
      <c r="J8" s="6" t="n">
        <v>8.8</v>
      </c>
      <c r="K8" s="6" t="n">
        <v>10.1</v>
      </c>
      <c r="L8" s="6" t="n">
        <v>11</v>
      </c>
      <c r="M8" s="6" t="n">
        <v>5.8</v>
      </c>
      <c r="N8" s="6" t="n">
        <v>35.7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18</v>
      </c>
      <c r="D9" s="5" t="n">
        <v>46168.5277777778</v>
      </c>
      <c r="E9" s="5" t="n">
        <v>46168.8986111111</v>
      </c>
      <c r="F9" s="5" t="n">
        <v>46169.3402777778</v>
      </c>
      <c r="G9" s="5" t="n">
        <v>46169.7319444444</v>
      </c>
      <c r="H9" s="5" t="n">
        <v>46170.0194444444</v>
      </c>
      <c r="I9" s="4" t="n">
        <v>12</v>
      </c>
      <c r="J9" s="6" t="n">
        <v>8.9</v>
      </c>
      <c r="K9" s="6" t="n">
        <v>10.6</v>
      </c>
      <c r="L9" s="6" t="n">
        <v>9.4</v>
      </c>
      <c r="M9" s="6" t="n">
        <v>6.9</v>
      </c>
      <c r="N9" s="6" t="n">
        <v>35.8</v>
      </c>
    </row>
    <row r="10" customFormat="false" ht="15" hidden="false" customHeight="false" outlineLevel="0" collapsed="false">
      <c r="A10" s="4" t="s">
        <v>25</v>
      </c>
      <c r="B10" s="4" t="s">
        <v>20</v>
      </c>
      <c r="C10" s="4" t="s">
        <v>18</v>
      </c>
      <c r="D10" s="5" t="n">
        <v>46101.9125</v>
      </c>
      <c r="E10" s="5" t="n">
        <v>46102.8416666667</v>
      </c>
      <c r="F10" s="5" t="n">
        <v>46102.9666666667</v>
      </c>
      <c r="G10" s="5" t="n">
        <v>46103.2208333333</v>
      </c>
      <c r="H10" s="5" t="n">
        <v>46103.4875</v>
      </c>
      <c r="I10" s="4" t="n">
        <v>21</v>
      </c>
      <c r="J10" s="6" t="n">
        <v>22.3</v>
      </c>
      <c r="K10" s="6" t="n">
        <v>3</v>
      </c>
      <c r="L10" s="6" t="n">
        <v>6.1</v>
      </c>
      <c r="M10" s="6" t="n">
        <v>6.4</v>
      </c>
      <c r="N10" s="6" t="n">
        <v>37.8</v>
      </c>
    </row>
    <row r="11" customFormat="false" ht="15" hidden="false" customHeight="false" outlineLevel="0" collapsed="false">
      <c r="A11" s="4" t="s">
        <v>26</v>
      </c>
      <c r="B11" s="4" t="s">
        <v>20</v>
      </c>
      <c r="C11" s="4" t="s">
        <v>18</v>
      </c>
      <c r="D11" s="5" t="n">
        <v>46080.7388888889</v>
      </c>
      <c r="E11" s="5" t="n">
        <v>46081.9638888889</v>
      </c>
      <c r="F11" s="5" t="n">
        <v>46082.3180555556</v>
      </c>
      <c r="G11" s="5" t="n">
        <v>46082.7222222222</v>
      </c>
      <c r="H11" s="5" t="n">
        <v>46082.8555555556</v>
      </c>
      <c r="I11" s="4" t="n">
        <v>17</v>
      </c>
      <c r="J11" s="6" t="n">
        <v>29.4</v>
      </c>
      <c r="K11" s="6" t="n">
        <v>8.5</v>
      </c>
      <c r="L11" s="6" t="n">
        <v>9.7</v>
      </c>
      <c r="M11" s="6" t="n">
        <v>3.2</v>
      </c>
      <c r="N11" s="6" t="n">
        <v>50.8</v>
      </c>
    </row>
    <row r="12" customFormat="false" ht="15" hidden="false" customHeight="false" outlineLevel="0" collapsed="false">
      <c r="A12" s="4" t="s">
        <v>27</v>
      </c>
      <c r="B12" s="4" t="s">
        <v>17</v>
      </c>
      <c r="C12" s="4" t="s">
        <v>18</v>
      </c>
      <c r="D12" s="5" t="n">
        <v>46124.5409722222</v>
      </c>
      <c r="E12" s="5" t="n">
        <v>46124.9201388889</v>
      </c>
      <c r="F12" s="5" t="n">
        <v>46125.2368055556</v>
      </c>
      <c r="G12" s="5" t="n">
        <v>46125.6743055556</v>
      </c>
      <c r="H12" s="5" t="n">
        <v>46126.0034722222</v>
      </c>
      <c r="I12" s="4" t="n">
        <v>12</v>
      </c>
      <c r="J12" s="6" t="n">
        <v>9.1</v>
      </c>
      <c r="K12" s="6" t="n">
        <v>7.6</v>
      </c>
      <c r="L12" s="6" t="n">
        <v>10.5</v>
      </c>
      <c r="M12" s="6" t="n">
        <v>7.9</v>
      </c>
      <c r="N12" s="6" t="n">
        <v>35.1</v>
      </c>
    </row>
    <row r="13" customFormat="false" ht="15" hidden="false" customHeight="false" outlineLevel="0" collapsed="false">
      <c r="A13" s="4" t="s">
        <v>28</v>
      </c>
      <c r="B13" s="4" t="s">
        <v>24</v>
      </c>
      <c r="C13" s="4" t="s">
        <v>18</v>
      </c>
      <c r="D13" s="5" t="n">
        <v>46035.8090277778</v>
      </c>
      <c r="E13" s="5" t="n">
        <v>46036.7548611111</v>
      </c>
      <c r="F13" s="5" t="n">
        <v>46036.9256944444</v>
      </c>
      <c r="G13" s="5" t="n">
        <v>46037.4840277778</v>
      </c>
      <c r="H13" s="5" t="n">
        <v>46037.8215277778</v>
      </c>
      <c r="I13" s="4" t="n">
        <v>19</v>
      </c>
      <c r="J13" s="6" t="n">
        <v>22.7</v>
      </c>
      <c r="K13" s="6" t="n">
        <v>4.1</v>
      </c>
      <c r="L13" s="6" t="n">
        <v>13.4</v>
      </c>
      <c r="M13" s="6" t="n">
        <v>8.1</v>
      </c>
      <c r="N13" s="6" t="n">
        <v>48.3</v>
      </c>
    </row>
    <row r="14" customFormat="false" ht="15" hidden="false" customHeight="false" outlineLevel="0" collapsed="false">
      <c r="A14" s="4" t="s">
        <v>29</v>
      </c>
      <c r="B14" s="4" t="s">
        <v>20</v>
      </c>
      <c r="C14" s="4" t="s">
        <v>18</v>
      </c>
      <c r="D14" s="5" t="n">
        <v>46128.8201388889</v>
      </c>
      <c r="E14" s="5" t="n">
        <v>46129.8451388889</v>
      </c>
      <c r="F14" s="5" t="n">
        <v>46130.0368055556</v>
      </c>
      <c r="G14" s="5" t="n">
        <v>46130.2743055556</v>
      </c>
      <c r="H14" s="5" t="n">
        <v>46130.5201388889</v>
      </c>
      <c r="I14" s="4" t="n">
        <v>19</v>
      </c>
      <c r="J14" s="6" t="n">
        <v>24.6</v>
      </c>
      <c r="K14" s="6" t="n">
        <v>4.6</v>
      </c>
      <c r="L14" s="6" t="n">
        <v>5.7</v>
      </c>
      <c r="M14" s="6" t="n">
        <v>5.9</v>
      </c>
      <c r="N14" s="6" t="n">
        <v>40.8</v>
      </c>
    </row>
    <row r="15" customFormat="false" ht="15" hidden="false" customHeight="false" outlineLevel="0" collapsed="false">
      <c r="A15" s="4" t="s">
        <v>30</v>
      </c>
      <c r="B15" s="4" t="s">
        <v>20</v>
      </c>
      <c r="C15" s="4" t="s">
        <v>18</v>
      </c>
      <c r="D15" s="5" t="n">
        <v>46176.5930555556</v>
      </c>
      <c r="E15" s="5" t="n">
        <v>46177.8430555556</v>
      </c>
      <c r="F15" s="5" t="n">
        <v>46177.9847222222</v>
      </c>
      <c r="G15" s="5" t="n">
        <v>46178.3347222222</v>
      </c>
      <c r="H15" s="5" t="n">
        <v>46178.6388888889</v>
      </c>
      <c r="I15" s="4" t="n">
        <v>14</v>
      </c>
      <c r="J15" s="6" t="n">
        <v>30</v>
      </c>
      <c r="K15" s="6" t="n">
        <v>3.4</v>
      </c>
      <c r="L15" s="6" t="n">
        <v>8.4</v>
      </c>
      <c r="M15" s="6" t="n">
        <v>7.3</v>
      </c>
      <c r="N15" s="6" t="n">
        <v>49.1</v>
      </c>
    </row>
    <row r="16" customFormat="false" ht="15" hidden="false" customHeight="false" outlineLevel="0" collapsed="false">
      <c r="A16" s="4" t="s">
        <v>31</v>
      </c>
      <c r="B16" s="4" t="s">
        <v>24</v>
      </c>
      <c r="C16" s="4" t="s">
        <v>18</v>
      </c>
      <c r="D16" s="5" t="n">
        <v>46067.76875</v>
      </c>
      <c r="E16" s="5" t="n">
        <v>46068.8520833333</v>
      </c>
      <c r="F16" s="5" t="n">
        <v>46069.09375</v>
      </c>
      <c r="G16" s="5" t="n">
        <v>46069.49375</v>
      </c>
      <c r="H16" s="5" t="n">
        <v>46069.7145833333</v>
      </c>
      <c r="I16" s="4" t="n">
        <v>18</v>
      </c>
      <c r="J16" s="6" t="n">
        <v>26</v>
      </c>
      <c r="K16" s="6" t="n">
        <v>5.8</v>
      </c>
      <c r="L16" s="6" t="n">
        <v>9.6</v>
      </c>
      <c r="M16" s="6" t="n">
        <v>5.3</v>
      </c>
      <c r="N16" s="6" t="n">
        <v>46.7</v>
      </c>
    </row>
    <row r="17" customFormat="false" ht="15" hidden="false" customHeight="false" outlineLevel="0" collapsed="false">
      <c r="A17" s="4" t="s">
        <v>32</v>
      </c>
      <c r="B17" s="4" t="s">
        <v>20</v>
      </c>
      <c r="C17" s="4" t="s">
        <v>18</v>
      </c>
      <c r="D17" s="5" t="n">
        <v>46029.7131944444</v>
      </c>
      <c r="E17" s="5" t="n">
        <v>46030.8298611111</v>
      </c>
      <c r="F17" s="5" t="n">
        <v>46031.1381944444</v>
      </c>
      <c r="G17" s="5" t="n">
        <v>46031.3840277778</v>
      </c>
      <c r="H17" s="5" t="n">
        <v>46031.6548611111</v>
      </c>
      <c r="I17" s="4" t="n">
        <v>17</v>
      </c>
      <c r="J17" s="6" t="n">
        <v>26.8</v>
      </c>
      <c r="K17" s="6" t="n">
        <v>7.4</v>
      </c>
      <c r="L17" s="6" t="n">
        <v>5.9</v>
      </c>
      <c r="M17" s="6" t="n">
        <v>6.5</v>
      </c>
      <c r="N17" s="6" t="n">
        <v>46.6</v>
      </c>
    </row>
    <row r="18" customFormat="false" ht="15" hidden="false" customHeight="false" outlineLevel="0" collapsed="false">
      <c r="A18" s="4" t="s">
        <v>33</v>
      </c>
      <c r="B18" s="4" t="s">
        <v>20</v>
      </c>
      <c r="C18" s="4" t="s">
        <v>18</v>
      </c>
      <c r="D18" s="5" t="n">
        <v>46143.3236111111</v>
      </c>
      <c r="E18" s="5" t="n">
        <v>46143.6277777778</v>
      </c>
      <c r="F18" s="5" t="n">
        <v>46143.8194444445</v>
      </c>
      <c r="G18" s="5" t="n">
        <v>46144.1736111111</v>
      </c>
      <c r="H18" s="5" t="n">
        <v>46144.3111111111</v>
      </c>
      <c r="I18" s="4" t="n">
        <v>7</v>
      </c>
      <c r="J18" s="6" t="n">
        <v>7.3</v>
      </c>
      <c r="K18" s="6" t="n">
        <v>4.6</v>
      </c>
      <c r="L18" s="6" t="n">
        <v>8.5</v>
      </c>
      <c r="M18" s="6" t="n">
        <v>3.3</v>
      </c>
      <c r="N18" s="6" t="n">
        <v>23.7</v>
      </c>
    </row>
    <row r="19" customFormat="false" ht="15" hidden="false" customHeight="false" outlineLevel="0" collapsed="false">
      <c r="A19" s="4" t="s">
        <v>34</v>
      </c>
      <c r="B19" s="4" t="s">
        <v>24</v>
      </c>
      <c r="C19" s="4" t="s">
        <v>35</v>
      </c>
      <c r="D19" s="5" t="n">
        <v>46103.8138888889</v>
      </c>
      <c r="E19" s="5" t="n">
        <v>46104.9013888889</v>
      </c>
      <c r="F19" s="5" t="n">
        <v>46105.0472222222</v>
      </c>
      <c r="G19" s="5" t="n">
        <v>46105.5222222222</v>
      </c>
      <c r="H19" s="5" t="n">
        <v>46105.7638888889</v>
      </c>
      <c r="I19" s="4" t="n">
        <v>19</v>
      </c>
      <c r="J19" s="6" t="n">
        <v>26.1</v>
      </c>
      <c r="K19" s="6" t="n">
        <v>3.5</v>
      </c>
      <c r="L19" s="6" t="n">
        <v>11.4</v>
      </c>
      <c r="M19" s="6" t="n">
        <v>5.8</v>
      </c>
      <c r="N19" s="6" t="n">
        <v>46.8</v>
      </c>
    </row>
    <row r="20" customFormat="false" ht="15" hidden="false" customHeight="false" outlineLevel="0" collapsed="false">
      <c r="A20" s="4" t="s">
        <v>36</v>
      </c>
      <c r="B20" s="4" t="s">
        <v>24</v>
      </c>
      <c r="C20" s="4" t="s">
        <v>18</v>
      </c>
      <c r="D20" s="5" t="n">
        <v>46027.6881944445</v>
      </c>
      <c r="E20" s="5" t="n">
        <v>46028.5298611111</v>
      </c>
      <c r="F20" s="5" t="n">
        <v>46029.0006944445</v>
      </c>
      <c r="G20" s="5" t="n">
        <v>46029.5298611111</v>
      </c>
      <c r="H20" s="5" t="n">
        <v>46029.8548611111</v>
      </c>
      <c r="I20" s="4" t="n">
        <v>16</v>
      </c>
      <c r="J20" s="6" t="n">
        <v>20.2</v>
      </c>
      <c r="K20" s="6" t="n">
        <v>11.3</v>
      </c>
      <c r="L20" s="6" t="n">
        <v>12.7</v>
      </c>
      <c r="M20" s="6" t="n">
        <v>7.8</v>
      </c>
      <c r="N20" s="6" t="n">
        <v>52</v>
      </c>
    </row>
    <row r="21" customFormat="false" ht="15" hidden="false" customHeight="false" outlineLevel="0" collapsed="false">
      <c r="A21" s="4" t="s">
        <v>37</v>
      </c>
      <c r="B21" s="4" t="s">
        <v>20</v>
      </c>
      <c r="C21" s="4" t="s">
        <v>18</v>
      </c>
      <c r="D21" s="5" t="n">
        <v>46172.8368055556</v>
      </c>
      <c r="E21" s="5" t="n">
        <v>46173.9743055556</v>
      </c>
      <c r="F21" s="5" t="n">
        <v>46174.3993055556</v>
      </c>
      <c r="G21" s="5" t="n">
        <v>46174.9743055556</v>
      </c>
      <c r="H21" s="5" t="n">
        <v>46175.2118055556</v>
      </c>
      <c r="I21" s="4" t="n">
        <v>20</v>
      </c>
      <c r="J21" s="6" t="n">
        <v>27.3</v>
      </c>
      <c r="K21" s="6" t="n">
        <v>10.2</v>
      </c>
      <c r="L21" s="6" t="n">
        <v>13.8</v>
      </c>
      <c r="M21" s="6" t="n">
        <v>5.7</v>
      </c>
      <c r="N21" s="6" t="n">
        <v>57</v>
      </c>
    </row>
    <row r="22" customFormat="false" ht="15" hidden="false" customHeight="false" outlineLevel="0" collapsed="false">
      <c r="A22" s="4" t="s">
        <v>38</v>
      </c>
      <c r="B22" s="4" t="s">
        <v>20</v>
      </c>
      <c r="C22" s="4" t="s">
        <v>18</v>
      </c>
      <c r="D22" s="5" t="n">
        <v>46167.4395833333</v>
      </c>
      <c r="E22" s="5" t="n">
        <v>46167.8979166667</v>
      </c>
      <c r="F22" s="5" t="n">
        <v>46168.15625</v>
      </c>
      <c r="G22" s="5" t="n">
        <v>46168.3770833333</v>
      </c>
      <c r="H22" s="5" t="n">
        <v>46168.61875</v>
      </c>
      <c r="I22" s="4" t="n">
        <v>10</v>
      </c>
      <c r="J22" s="6" t="n">
        <v>11</v>
      </c>
      <c r="K22" s="6" t="n">
        <v>6.2</v>
      </c>
      <c r="L22" s="6" t="n">
        <v>5.3</v>
      </c>
      <c r="M22" s="6" t="n">
        <v>5.8</v>
      </c>
      <c r="N22" s="6" t="n">
        <v>28.3</v>
      </c>
    </row>
    <row r="23" customFormat="false" ht="15" hidden="false" customHeight="false" outlineLevel="0" collapsed="false">
      <c r="A23" s="4" t="s">
        <v>39</v>
      </c>
      <c r="B23" s="4" t="s">
        <v>17</v>
      </c>
      <c r="C23" s="4" t="s">
        <v>18</v>
      </c>
      <c r="D23" s="5" t="n">
        <v>46106.6125</v>
      </c>
      <c r="E23" s="5" t="n">
        <v>46107.7166666667</v>
      </c>
      <c r="F23" s="5" t="n">
        <v>46107.9833333333</v>
      </c>
      <c r="G23" s="5" t="n">
        <v>46108.3458333333</v>
      </c>
      <c r="H23" s="5" t="n">
        <v>46108.4625</v>
      </c>
      <c r="I23" s="4" t="n">
        <v>14</v>
      </c>
      <c r="J23" s="6" t="n">
        <v>26.5</v>
      </c>
      <c r="K23" s="6" t="n">
        <v>6.4</v>
      </c>
      <c r="L23" s="6" t="n">
        <v>8.7</v>
      </c>
      <c r="M23" s="6" t="n">
        <v>2.8</v>
      </c>
      <c r="N23" s="6" t="n">
        <v>44.4</v>
      </c>
    </row>
    <row r="24" customFormat="false" ht="15" hidden="false" customHeight="false" outlineLevel="0" collapsed="false">
      <c r="A24" s="4" t="s">
        <v>40</v>
      </c>
      <c r="B24" s="4" t="s">
        <v>20</v>
      </c>
      <c r="C24" s="4" t="s">
        <v>18</v>
      </c>
      <c r="D24" s="5" t="n">
        <v>46177.6506944444</v>
      </c>
      <c r="E24" s="5" t="n">
        <v>46178.5756944444</v>
      </c>
      <c r="F24" s="5" t="n">
        <v>46178.6881944445</v>
      </c>
      <c r="G24" s="5" t="n">
        <v>46179.1006944445</v>
      </c>
      <c r="H24" s="5" t="n">
        <v>46179.2506944445</v>
      </c>
      <c r="I24" s="4" t="n">
        <v>15</v>
      </c>
      <c r="J24" s="6" t="n">
        <v>22.2</v>
      </c>
      <c r="K24" s="6" t="n">
        <v>2.7</v>
      </c>
      <c r="L24" s="6" t="n">
        <v>9.9</v>
      </c>
      <c r="M24" s="6" t="n">
        <v>3.6</v>
      </c>
      <c r="N24" s="6" t="n">
        <v>38.4</v>
      </c>
    </row>
    <row r="25" customFormat="false" ht="15" hidden="false" customHeight="false" outlineLevel="0" collapsed="false">
      <c r="A25" s="4" t="s">
        <v>41</v>
      </c>
      <c r="B25" s="4" t="s">
        <v>24</v>
      </c>
      <c r="C25" s="4" t="s">
        <v>35</v>
      </c>
      <c r="D25" s="5" t="n">
        <v>46045.6368055556</v>
      </c>
      <c r="E25" s="5" t="n">
        <v>46046.7493055556</v>
      </c>
      <c r="F25" s="5" t="n">
        <v>46046.9201388889</v>
      </c>
      <c r="G25" s="5" t="n">
        <v>46047.1076388889</v>
      </c>
      <c r="H25" s="5" t="n">
        <v>46047.4618055556</v>
      </c>
      <c r="I25" s="4" t="n">
        <v>15</v>
      </c>
      <c r="J25" s="6" t="n">
        <v>26.7</v>
      </c>
      <c r="K25" s="6" t="n">
        <v>4.1</v>
      </c>
      <c r="L25" s="6" t="n">
        <v>4.5</v>
      </c>
      <c r="M25" s="6" t="n">
        <v>8.5</v>
      </c>
      <c r="N25" s="6" t="n">
        <v>43.8</v>
      </c>
    </row>
    <row r="26" customFormat="false" ht="15" hidden="false" customHeight="false" outlineLevel="0" collapsed="false">
      <c r="A26" s="4" t="s">
        <v>42</v>
      </c>
      <c r="B26" s="4" t="s">
        <v>17</v>
      </c>
      <c r="C26" s="4" t="s">
        <v>18</v>
      </c>
      <c r="D26" s="5" t="n">
        <v>46148.8</v>
      </c>
      <c r="E26" s="5" t="n">
        <v>46149.6708333333</v>
      </c>
      <c r="F26" s="5" t="n">
        <v>46150.0291666667</v>
      </c>
      <c r="G26" s="5" t="n">
        <v>46150.3166666667</v>
      </c>
      <c r="H26" s="5" t="n">
        <v>46150.5208333333</v>
      </c>
      <c r="I26" s="4" t="n">
        <v>19</v>
      </c>
      <c r="J26" s="6" t="n">
        <v>20.9</v>
      </c>
      <c r="K26" s="6" t="n">
        <v>8.6</v>
      </c>
      <c r="L26" s="6" t="n">
        <v>6.9</v>
      </c>
      <c r="M26" s="6" t="n">
        <v>4.9</v>
      </c>
      <c r="N26" s="6" t="n">
        <v>41.3</v>
      </c>
    </row>
    <row r="27" customFormat="false" ht="15" hidden="false" customHeight="false" outlineLevel="0" collapsed="false">
      <c r="A27" s="4" t="s">
        <v>43</v>
      </c>
      <c r="B27" s="4" t="s">
        <v>24</v>
      </c>
      <c r="C27" s="4" t="s">
        <v>18</v>
      </c>
      <c r="D27" s="5" t="n">
        <v>46194.8791666667</v>
      </c>
      <c r="E27" s="5" t="n">
        <v>46195.7375</v>
      </c>
      <c r="F27" s="5" t="n">
        <v>46196.125</v>
      </c>
      <c r="G27" s="5" t="n">
        <v>46196.6166666667</v>
      </c>
      <c r="H27" s="5" t="n">
        <v>46196.7333333333</v>
      </c>
      <c r="I27" s="4" t="n">
        <v>21</v>
      </c>
      <c r="J27" s="6" t="n">
        <v>20.6</v>
      </c>
      <c r="K27" s="6" t="n">
        <v>9.3</v>
      </c>
      <c r="L27" s="6" t="n">
        <v>11.8</v>
      </c>
      <c r="M27" s="6" t="n">
        <v>2.8</v>
      </c>
      <c r="N27" s="6" t="n">
        <v>44.5</v>
      </c>
    </row>
    <row r="28" customFormat="false" ht="15" hidden="false" customHeight="false" outlineLevel="0" collapsed="false">
      <c r="A28" s="4" t="s">
        <v>44</v>
      </c>
      <c r="B28" s="4" t="s">
        <v>20</v>
      </c>
      <c r="C28" s="4" t="s">
        <v>18</v>
      </c>
      <c r="D28" s="5" t="n">
        <v>46062.5951388889</v>
      </c>
      <c r="E28" s="5" t="n">
        <v>46063.6201388889</v>
      </c>
      <c r="F28" s="5" t="n">
        <v>46064.0659722222</v>
      </c>
      <c r="G28" s="5" t="n">
        <v>46064.2243055556</v>
      </c>
      <c r="H28" s="5" t="n">
        <v>46064.5451388889</v>
      </c>
      <c r="I28" s="4" t="n">
        <v>14</v>
      </c>
      <c r="J28" s="6" t="n">
        <v>24.6</v>
      </c>
      <c r="K28" s="6" t="n">
        <v>10.7</v>
      </c>
      <c r="L28" s="6" t="n">
        <v>3.8</v>
      </c>
      <c r="M28" s="6" t="n">
        <v>7.7</v>
      </c>
      <c r="N28" s="6" t="n">
        <v>46.8</v>
      </c>
    </row>
    <row r="29" customFormat="false" ht="15" hidden="false" customHeight="false" outlineLevel="0" collapsed="false">
      <c r="A29" s="4" t="s">
        <v>45</v>
      </c>
      <c r="B29" s="4" t="s">
        <v>24</v>
      </c>
      <c r="C29" s="4" t="s">
        <v>18</v>
      </c>
      <c r="D29" s="5" t="n">
        <v>46193.9118055556</v>
      </c>
      <c r="E29" s="5" t="n">
        <v>46194.7493055556</v>
      </c>
      <c r="F29" s="5" t="n">
        <v>46194.8701388889</v>
      </c>
      <c r="G29" s="5" t="n">
        <v>46195.3409722222</v>
      </c>
      <c r="H29" s="5" t="n">
        <v>46195.4951388889</v>
      </c>
      <c r="I29" s="4" t="n">
        <v>21</v>
      </c>
      <c r="J29" s="6" t="n">
        <v>20.1</v>
      </c>
      <c r="K29" s="6" t="n">
        <v>2.9</v>
      </c>
      <c r="L29" s="6" t="n">
        <v>11.3</v>
      </c>
      <c r="M29" s="6" t="n">
        <v>3.7</v>
      </c>
      <c r="N29" s="6" t="n">
        <v>38</v>
      </c>
    </row>
    <row r="30" customFormat="false" ht="15" hidden="false" customHeight="false" outlineLevel="0" collapsed="false">
      <c r="A30" s="4" t="s">
        <v>46</v>
      </c>
      <c r="B30" s="4" t="s">
        <v>20</v>
      </c>
      <c r="C30" s="4" t="s">
        <v>18</v>
      </c>
      <c r="D30" s="5" t="n">
        <v>46129.8402777778</v>
      </c>
      <c r="E30" s="5" t="n">
        <v>46130.8319444444</v>
      </c>
      <c r="F30" s="5" t="n">
        <v>46131.3277777778</v>
      </c>
      <c r="G30" s="5" t="n">
        <v>46131.5736111111</v>
      </c>
      <c r="H30" s="5" t="n">
        <v>46131.8861111111</v>
      </c>
      <c r="I30" s="4" t="n">
        <v>20</v>
      </c>
      <c r="J30" s="6" t="n">
        <v>23.8</v>
      </c>
      <c r="K30" s="6" t="n">
        <v>11.9</v>
      </c>
      <c r="L30" s="6" t="n">
        <v>5.9</v>
      </c>
      <c r="M30" s="6" t="n">
        <v>7.5</v>
      </c>
      <c r="N30" s="6" t="n">
        <v>49.1</v>
      </c>
    </row>
    <row r="31" customFormat="false" ht="15" hidden="false" customHeight="false" outlineLevel="0" collapsed="false">
      <c r="A31" s="4" t="s">
        <v>47</v>
      </c>
      <c r="B31" s="4" t="s">
        <v>17</v>
      </c>
      <c r="C31" s="4" t="s">
        <v>18</v>
      </c>
      <c r="D31" s="5" t="n">
        <v>46169.7298611111</v>
      </c>
      <c r="E31" s="5" t="n">
        <v>46170.6256944445</v>
      </c>
      <c r="F31" s="5" t="n">
        <v>46170.8340277778</v>
      </c>
      <c r="G31" s="5" t="n">
        <v>46171.4048611111</v>
      </c>
      <c r="H31" s="5" t="n">
        <v>46171.6590277778</v>
      </c>
      <c r="I31" s="4" t="n">
        <v>17</v>
      </c>
      <c r="J31" s="6" t="n">
        <v>21.5</v>
      </c>
      <c r="K31" s="6" t="n">
        <v>5</v>
      </c>
      <c r="L31" s="6" t="n">
        <v>13.7</v>
      </c>
      <c r="M31" s="6" t="n">
        <v>6.1</v>
      </c>
      <c r="N31" s="6" t="n">
        <v>46.3</v>
      </c>
    </row>
    <row r="32" customFormat="false" ht="15" hidden="false" customHeight="false" outlineLevel="0" collapsed="false">
      <c r="A32" s="4" t="s">
        <v>48</v>
      </c>
      <c r="B32" s="4" t="s">
        <v>17</v>
      </c>
      <c r="C32" s="4" t="s">
        <v>35</v>
      </c>
      <c r="D32" s="5" t="n">
        <v>46041.3541666667</v>
      </c>
      <c r="E32" s="5" t="n">
        <v>46041.5625</v>
      </c>
      <c r="F32" s="5" t="n">
        <v>46042</v>
      </c>
      <c r="G32" s="5" t="n">
        <v>46042.1958333333</v>
      </c>
      <c r="H32" s="5" t="n">
        <v>46042.5583333333</v>
      </c>
      <c r="I32" s="4" t="n">
        <v>8</v>
      </c>
      <c r="J32" s="6" t="n">
        <v>5</v>
      </c>
      <c r="K32" s="6" t="n">
        <v>10.5</v>
      </c>
      <c r="L32" s="6" t="n">
        <v>4.7</v>
      </c>
      <c r="M32" s="6" t="n">
        <v>8.7</v>
      </c>
      <c r="N32" s="6" t="n">
        <v>28.9</v>
      </c>
    </row>
    <row r="33" customFormat="false" ht="15" hidden="false" customHeight="false" outlineLevel="0" collapsed="false">
      <c r="A33" s="4" t="s">
        <v>49</v>
      </c>
      <c r="B33" s="4" t="s">
        <v>20</v>
      </c>
      <c r="C33" s="4" t="s">
        <v>18</v>
      </c>
      <c r="D33" s="5" t="n">
        <v>46179.4131944445</v>
      </c>
      <c r="E33" s="5" t="n">
        <v>46179.5548611111</v>
      </c>
      <c r="F33" s="5" t="n">
        <v>46179.6881944445</v>
      </c>
      <c r="G33" s="5" t="n">
        <v>46180.2215277778</v>
      </c>
      <c r="H33" s="5" t="n">
        <v>46180.3756944445</v>
      </c>
      <c r="I33" s="4" t="n">
        <v>9</v>
      </c>
      <c r="J33" s="6" t="n">
        <v>3.4</v>
      </c>
      <c r="K33" s="6" t="n">
        <v>3.2</v>
      </c>
      <c r="L33" s="6" t="n">
        <v>12.8</v>
      </c>
      <c r="M33" s="6" t="n">
        <v>3.7</v>
      </c>
      <c r="N33" s="6" t="n">
        <v>23.1</v>
      </c>
    </row>
    <row r="34" customFormat="false" ht="15" hidden="false" customHeight="false" outlineLevel="0" collapsed="false">
      <c r="A34" s="4" t="s">
        <v>50</v>
      </c>
      <c r="B34" s="4" t="s">
        <v>17</v>
      </c>
      <c r="C34" s="4" t="s">
        <v>18</v>
      </c>
      <c r="D34" s="5" t="n">
        <v>46134.7333333333</v>
      </c>
      <c r="E34" s="5" t="n">
        <v>46135.7833333333</v>
      </c>
      <c r="F34" s="5" t="n">
        <v>46136.2541666667</v>
      </c>
      <c r="G34" s="5" t="n">
        <v>46136.4708333333</v>
      </c>
      <c r="H34" s="5" t="n">
        <v>46136.7625</v>
      </c>
      <c r="I34" s="4" t="n">
        <v>17</v>
      </c>
      <c r="J34" s="6" t="n">
        <v>25.2</v>
      </c>
      <c r="K34" s="6" t="n">
        <v>11.3</v>
      </c>
      <c r="L34" s="6" t="n">
        <v>5.2</v>
      </c>
      <c r="M34" s="6" t="n">
        <v>7</v>
      </c>
      <c r="N34" s="6" t="n">
        <v>48.7</v>
      </c>
    </row>
    <row r="35" customFormat="false" ht="15" hidden="false" customHeight="false" outlineLevel="0" collapsed="false">
      <c r="A35" s="4" t="s">
        <v>51</v>
      </c>
      <c r="B35" s="4" t="s">
        <v>20</v>
      </c>
      <c r="C35" s="4" t="s">
        <v>18</v>
      </c>
      <c r="D35" s="5" t="n">
        <v>46198.7284722222</v>
      </c>
      <c r="E35" s="5" t="n">
        <v>46199.6951388889</v>
      </c>
      <c r="F35" s="5" t="n">
        <v>46200.0909722222</v>
      </c>
      <c r="G35" s="5" t="n">
        <v>46200.2493055556</v>
      </c>
      <c r="H35" s="5" t="n">
        <v>46200.4659722222</v>
      </c>
      <c r="I35" s="4" t="n">
        <v>17</v>
      </c>
      <c r="J35" s="6" t="n">
        <v>23.2</v>
      </c>
      <c r="K35" s="6" t="n">
        <v>9.5</v>
      </c>
      <c r="L35" s="6" t="n">
        <v>3.8</v>
      </c>
      <c r="M35" s="6" t="n">
        <v>5.2</v>
      </c>
      <c r="N35" s="6" t="n">
        <v>41.7</v>
      </c>
    </row>
    <row r="36" customFormat="false" ht="15" hidden="false" customHeight="false" outlineLevel="0" collapsed="false">
      <c r="A36" s="4" t="s">
        <v>52</v>
      </c>
      <c r="B36" s="4" t="s">
        <v>24</v>
      </c>
      <c r="C36" s="4" t="s">
        <v>53</v>
      </c>
      <c r="D36" s="5" t="n">
        <v>46045.6472222222</v>
      </c>
      <c r="E36" s="5" t="n">
        <v>46046.5930555556</v>
      </c>
      <c r="F36" s="5" t="n">
        <v>46047.0638888889</v>
      </c>
      <c r="G36" s="5" t="n">
        <v>46047.5930555556</v>
      </c>
      <c r="H36" s="5" t="n">
        <v>46047.9347222222</v>
      </c>
      <c r="I36" s="4" t="n">
        <v>15</v>
      </c>
      <c r="J36" s="6" t="n">
        <v>22.7</v>
      </c>
      <c r="K36" s="6" t="n">
        <v>11.3</v>
      </c>
      <c r="L36" s="6" t="n">
        <v>12.7</v>
      </c>
      <c r="M36" s="6" t="n">
        <v>8.2</v>
      </c>
      <c r="N36" s="6" t="n">
        <v>54.9</v>
      </c>
    </row>
    <row r="37" customFormat="false" ht="15" hidden="false" customHeight="false" outlineLevel="0" collapsed="false">
      <c r="A37" s="4" t="s">
        <v>54</v>
      </c>
      <c r="B37" s="4" t="s">
        <v>20</v>
      </c>
      <c r="C37" s="4" t="s">
        <v>18</v>
      </c>
      <c r="D37" s="5" t="n">
        <v>46166.7354166667</v>
      </c>
      <c r="E37" s="5" t="n">
        <v>46167.9770833333</v>
      </c>
      <c r="F37" s="5" t="n">
        <v>46168.3979166667</v>
      </c>
      <c r="G37" s="5" t="n">
        <v>46168.7645833333</v>
      </c>
      <c r="H37" s="5" t="n">
        <v>46169.04375</v>
      </c>
      <c r="I37" s="4" t="n">
        <v>17</v>
      </c>
      <c r="J37" s="6" t="n">
        <v>29.8</v>
      </c>
      <c r="K37" s="6" t="n">
        <v>10.1</v>
      </c>
      <c r="L37" s="6" t="n">
        <v>8.8</v>
      </c>
      <c r="M37" s="6" t="n">
        <v>6.7</v>
      </c>
      <c r="N37" s="6" t="n">
        <v>55.4</v>
      </c>
    </row>
    <row r="38" customFormat="false" ht="15" hidden="false" customHeight="false" outlineLevel="0" collapsed="false">
      <c r="A38" s="4" t="s">
        <v>55</v>
      </c>
      <c r="B38" s="4" t="s">
        <v>17</v>
      </c>
      <c r="C38" s="4" t="s">
        <v>53</v>
      </c>
      <c r="D38" s="5" t="n">
        <v>46053.8388888889</v>
      </c>
      <c r="E38" s="5" t="n">
        <v>46054.7805555556</v>
      </c>
      <c r="F38" s="5" t="n">
        <v>46055.2347222222</v>
      </c>
      <c r="G38" s="5" t="n">
        <v>46055.7013888889</v>
      </c>
      <c r="H38" s="5" t="n">
        <v>46055.8305555556</v>
      </c>
      <c r="I38" s="4" t="n">
        <v>20</v>
      </c>
      <c r="J38" s="6" t="n">
        <v>22.6</v>
      </c>
      <c r="K38" s="6" t="n">
        <v>10.9</v>
      </c>
      <c r="L38" s="6" t="n">
        <v>11.2</v>
      </c>
      <c r="M38" s="6" t="n">
        <v>3.1</v>
      </c>
      <c r="N38" s="6" t="n">
        <v>47.8</v>
      </c>
    </row>
    <row r="39" customFormat="false" ht="15" hidden="false" customHeight="false" outlineLevel="0" collapsed="false">
      <c r="A39" s="4" t="s">
        <v>56</v>
      </c>
      <c r="B39" s="4" t="s">
        <v>20</v>
      </c>
      <c r="C39" s="4" t="s">
        <v>18</v>
      </c>
      <c r="D39" s="5" t="n">
        <v>46114.4861111111</v>
      </c>
      <c r="E39" s="5" t="n">
        <v>46114.9361111111</v>
      </c>
      <c r="F39" s="5" t="n">
        <v>46115.2319444444</v>
      </c>
      <c r="G39" s="5" t="n">
        <v>46115.4736111111</v>
      </c>
      <c r="H39" s="5" t="n">
        <v>46115.8236111111</v>
      </c>
      <c r="I39" s="4" t="n">
        <v>11</v>
      </c>
      <c r="J39" s="6" t="n">
        <v>10.8</v>
      </c>
      <c r="K39" s="6" t="n">
        <v>7.1</v>
      </c>
      <c r="L39" s="6" t="n">
        <v>5.8</v>
      </c>
      <c r="M39" s="6" t="n">
        <v>8.4</v>
      </c>
      <c r="N39" s="6" t="n">
        <v>32.1</v>
      </c>
    </row>
    <row r="40" customFormat="false" ht="15" hidden="false" customHeight="false" outlineLevel="0" collapsed="false">
      <c r="A40" s="4" t="s">
        <v>57</v>
      </c>
      <c r="B40" s="4" t="s">
        <v>20</v>
      </c>
      <c r="C40" s="4" t="s">
        <v>18</v>
      </c>
      <c r="D40" s="5" t="n">
        <v>46097.3479166667</v>
      </c>
      <c r="E40" s="5" t="n">
        <v>46097.6229166667</v>
      </c>
      <c r="F40" s="5" t="n">
        <v>46097.9729166667</v>
      </c>
      <c r="G40" s="5" t="n">
        <v>46098.21875</v>
      </c>
      <c r="H40" s="5" t="n">
        <v>46098.51875</v>
      </c>
      <c r="I40" s="4" t="n">
        <v>8</v>
      </c>
      <c r="J40" s="6" t="n">
        <v>6.6</v>
      </c>
      <c r="K40" s="6" t="n">
        <v>8.4</v>
      </c>
      <c r="L40" s="6" t="n">
        <v>5.9</v>
      </c>
      <c r="M40" s="6" t="n">
        <v>7.2</v>
      </c>
      <c r="N40" s="6" t="n">
        <v>28.1</v>
      </c>
    </row>
    <row r="41" customFormat="false" ht="15" hidden="false" customHeight="false" outlineLevel="0" collapsed="false">
      <c r="A41" s="4" t="s">
        <v>58</v>
      </c>
      <c r="B41" s="4" t="s">
        <v>17</v>
      </c>
      <c r="C41" s="4" t="s">
        <v>18</v>
      </c>
      <c r="D41" s="5" t="n">
        <v>46029.4138888889</v>
      </c>
      <c r="E41" s="5" t="n">
        <v>46029.6680555556</v>
      </c>
      <c r="F41" s="5" t="n">
        <v>46029.8138888889</v>
      </c>
      <c r="G41" s="5" t="n">
        <v>46029.9555555556</v>
      </c>
      <c r="H41" s="5" t="n">
        <v>46030.1472222222</v>
      </c>
      <c r="I41" s="4" t="n">
        <v>9</v>
      </c>
      <c r="J41" s="6" t="n">
        <v>6.1</v>
      </c>
      <c r="K41" s="6" t="n">
        <v>3.5</v>
      </c>
      <c r="L41" s="6" t="n">
        <v>3.4</v>
      </c>
      <c r="M41" s="6" t="n">
        <v>4.6</v>
      </c>
      <c r="N41" s="6" t="n">
        <v>17.6</v>
      </c>
    </row>
    <row r="42" customFormat="false" ht="15" hidden="false" customHeight="false" outlineLevel="0" collapsed="false">
      <c r="A42" s="4" t="s">
        <v>59</v>
      </c>
      <c r="B42" s="4" t="s">
        <v>17</v>
      </c>
      <c r="C42" s="4" t="s">
        <v>18</v>
      </c>
      <c r="D42" s="5" t="n">
        <v>46037.5395833333</v>
      </c>
      <c r="E42" s="5" t="n">
        <v>46038.01875</v>
      </c>
      <c r="F42" s="5" t="n">
        <v>46038.50625</v>
      </c>
      <c r="G42" s="5" t="n">
        <v>46038.6479166667</v>
      </c>
      <c r="H42" s="5" t="n">
        <v>46038.8354166667</v>
      </c>
      <c r="I42" s="4" t="n">
        <v>12</v>
      </c>
      <c r="J42" s="6" t="n">
        <v>11.5</v>
      </c>
      <c r="K42" s="6" t="n">
        <v>11.7</v>
      </c>
      <c r="L42" s="6" t="n">
        <v>3.4</v>
      </c>
      <c r="M42" s="6" t="n">
        <v>4.5</v>
      </c>
      <c r="N42" s="6" t="n">
        <v>31.1</v>
      </c>
    </row>
    <row r="43" customFormat="false" ht="15" hidden="false" customHeight="false" outlineLevel="0" collapsed="false">
      <c r="A43" s="4" t="s">
        <v>60</v>
      </c>
      <c r="B43" s="4" t="s">
        <v>17</v>
      </c>
      <c r="C43" s="4" t="s">
        <v>18</v>
      </c>
      <c r="D43" s="5" t="n">
        <v>46117.7888888889</v>
      </c>
      <c r="E43" s="5" t="n">
        <v>46118.9847222222</v>
      </c>
      <c r="F43" s="5" t="n">
        <v>46119.4722222222</v>
      </c>
      <c r="G43" s="5" t="n">
        <v>46119.9388888889</v>
      </c>
      <c r="H43" s="5" t="n">
        <v>46120.2930555556</v>
      </c>
      <c r="I43" s="4" t="n">
        <v>18</v>
      </c>
      <c r="J43" s="6" t="n">
        <v>28.7</v>
      </c>
      <c r="K43" s="6" t="n">
        <v>11.7</v>
      </c>
      <c r="L43" s="6" t="n">
        <v>11.2</v>
      </c>
      <c r="M43" s="6" t="n">
        <v>8.5</v>
      </c>
      <c r="N43" s="6" t="n">
        <v>60.1</v>
      </c>
    </row>
    <row r="44" customFormat="false" ht="15" hidden="false" customHeight="false" outlineLevel="0" collapsed="false">
      <c r="A44" s="4" t="s">
        <v>61</v>
      </c>
      <c r="B44" s="4" t="s">
        <v>20</v>
      </c>
      <c r="C44" s="4" t="s">
        <v>18</v>
      </c>
      <c r="D44" s="5" t="n">
        <v>46072.7923611111</v>
      </c>
      <c r="E44" s="5" t="n">
        <v>46073.7006944444</v>
      </c>
      <c r="F44" s="5" t="n">
        <v>46074.1673611111</v>
      </c>
      <c r="G44" s="5" t="n">
        <v>46074.6506944444</v>
      </c>
      <c r="H44" s="5" t="n">
        <v>46074.8548611111</v>
      </c>
      <c r="I44" s="4" t="n">
        <v>19</v>
      </c>
      <c r="J44" s="6" t="n">
        <v>21.8</v>
      </c>
      <c r="K44" s="6" t="n">
        <v>11.2</v>
      </c>
      <c r="L44" s="6" t="n">
        <v>11.6</v>
      </c>
      <c r="M44" s="6" t="n">
        <v>4.9</v>
      </c>
      <c r="N44" s="6" t="n">
        <v>49.5</v>
      </c>
    </row>
    <row r="45" customFormat="false" ht="15" hidden="false" customHeight="false" outlineLevel="0" collapsed="false">
      <c r="A45" s="4" t="s">
        <v>62</v>
      </c>
      <c r="B45" s="4" t="s">
        <v>17</v>
      </c>
      <c r="C45" s="4" t="s">
        <v>35</v>
      </c>
      <c r="D45" s="5" t="n">
        <v>46090.5347222222</v>
      </c>
      <c r="E45" s="5" t="n">
        <v>46090.9347222222</v>
      </c>
      <c r="F45" s="5" t="n">
        <v>46091.1763888889</v>
      </c>
      <c r="G45" s="5" t="n">
        <v>46091.3180555556</v>
      </c>
      <c r="H45" s="5" t="n">
        <v>46091.5388888889</v>
      </c>
      <c r="I45" s="4" t="n">
        <v>12</v>
      </c>
      <c r="J45" s="6" t="n">
        <v>9.6</v>
      </c>
      <c r="K45" s="6" t="n">
        <v>5.8</v>
      </c>
      <c r="L45" s="6" t="n">
        <v>3.4</v>
      </c>
      <c r="M45" s="6" t="n">
        <v>5.3</v>
      </c>
      <c r="N45" s="6" t="n">
        <v>24.1</v>
      </c>
    </row>
    <row r="46" customFormat="false" ht="15" hidden="false" customHeight="false" outlineLevel="0" collapsed="false">
      <c r="A46" s="4" t="s">
        <v>63</v>
      </c>
      <c r="B46" s="4" t="s">
        <v>20</v>
      </c>
      <c r="C46" s="4" t="s">
        <v>53</v>
      </c>
      <c r="D46" s="5" t="n">
        <v>46116.5347222222</v>
      </c>
      <c r="E46" s="5" t="n">
        <v>46116.9930555556</v>
      </c>
      <c r="F46" s="5" t="n">
        <v>46117.1680555556</v>
      </c>
      <c r="G46" s="5" t="n">
        <v>46117.5972222222</v>
      </c>
      <c r="H46" s="5" t="n">
        <v>46117.7972222222</v>
      </c>
      <c r="I46" s="4" t="n">
        <v>12</v>
      </c>
      <c r="J46" s="6" t="n">
        <v>11</v>
      </c>
      <c r="K46" s="6" t="n">
        <v>4.2</v>
      </c>
      <c r="L46" s="6" t="n">
        <v>10.3</v>
      </c>
      <c r="M46" s="6" t="n">
        <v>4.8</v>
      </c>
      <c r="N46" s="6" t="n">
        <v>30.3</v>
      </c>
    </row>
    <row r="47" customFormat="false" ht="15" hidden="false" customHeight="false" outlineLevel="0" collapsed="false">
      <c r="A47" s="4" t="s">
        <v>64</v>
      </c>
      <c r="B47" s="4" t="s">
        <v>20</v>
      </c>
      <c r="C47" s="4" t="s">
        <v>18</v>
      </c>
      <c r="D47" s="5" t="n">
        <v>46098.5638888889</v>
      </c>
      <c r="E47" s="5" t="n">
        <v>46098.8638888889</v>
      </c>
      <c r="F47" s="5" t="n">
        <v>46099.3555555556</v>
      </c>
      <c r="G47" s="5" t="n">
        <v>46099.7263888889</v>
      </c>
      <c r="H47" s="5" t="n">
        <v>46100.0847222222</v>
      </c>
      <c r="I47" s="4" t="n">
        <v>13</v>
      </c>
      <c r="J47" s="6" t="n">
        <v>7.2</v>
      </c>
      <c r="K47" s="6" t="n">
        <v>11.8</v>
      </c>
      <c r="L47" s="6" t="n">
        <v>8.9</v>
      </c>
      <c r="M47" s="6" t="n">
        <v>8.6</v>
      </c>
      <c r="N47" s="6" t="n">
        <v>36.5</v>
      </c>
    </row>
    <row r="48" customFormat="false" ht="15" hidden="false" customHeight="false" outlineLevel="0" collapsed="false">
      <c r="A48" s="4" t="s">
        <v>65</v>
      </c>
      <c r="B48" s="4" t="s">
        <v>20</v>
      </c>
      <c r="C48" s="4" t="s">
        <v>53</v>
      </c>
      <c r="D48" s="5" t="n">
        <v>46072.6777777778</v>
      </c>
      <c r="E48" s="5" t="n">
        <v>46073.5277777778</v>
      </c>
      <c r="F48" s="5" t="n">
        <v>46073.8611111111</v>
      </c>
      <c r="G48" s="5" t="n">
        <v>46074.1444444444</v>
      </c>
      <c r="H48" s="5" t="n">
        <v>46074.4569444444</v>
      </c>
      <c r="I48" s="4" t="n">
        <v>16</v>
      </c>
      <c r="J48" s="6" t="n">
        <v>20.4</v>
      </c>
      <c r="K48" s="6" t="n">
        <v>8</v>
      </c>
      <c r="L48" s="6" t="n">
        <v>6.8</v>
      </c>
      <c r="M48" s="6" t="n">
        <v>7.5</v>
      </c>
      <c r="N48" s="6" t="n">
        <v>42.7</v>
      </c>
    </row>
    <row r="49" customFormat="false" ht="15" hidden="false" customHeight="false" outlineLevel="0" collapsed="false">
      <c r="A49" s="4" t="s">
        <v>66</v>
      </c>
      <c r="B49" s="4" t="s">
        <v>20</v>
      </c>
      <c r="C49" s="4" t="s">
        <v>53</v>
      </c>
      <c r="D49" s="5" t="n">
        <v>46056.5666666667</v>
      </c>
      <c r="E49" s="5" t="n">
        <v>46056.7958333333</v>
      </c>
      <c r="F49" s="5" t="n">
        <v>46056.8958333333</v>
      </c>
      <c r="G49" s="5" t="n">
        <v>46057.2208333333</v>
      </c>
      <c r="H49" s="5" t="n">
        <v>46057.4541666667</v>
      </c>
      <c r="I49" s="4" t="n">
        <v>13</v>
      </c>
      <c r="J49" s="6" t="n">
        <v>5.5</v>
      </c>
      <c r="K49" s="6" t="n">
        <v>2.4</v>
      </c>
      <c r="L49" s="6" t="n">
        <v>7.8</v>
      </c>
      <c r="M49" s="6" t="n">
        <v>5.6</v>
      </c>
      <c r="N49" s="6" t="n">
        <v>21.3</v>
      </c>
    </row>
    <row r="50" customFormat="false" ht="15" hidden="false" customHeight="false" outlineLevel="0" collapsed="false">
      <c r="A50" s="4" t="s">
        <v>67</v>
      </c>
      <c r="B50" s="4" t="s">
        <v>24</v>
      </c>
      <c r="C50" s="4" t="s">
        <v>18</v>
      </c>
      <c r="D50" s="5" t="n">
        <v>46198.4770833333</v>
      </c>
      <c r="E50" s="5" t="n">
        <v>46198.66875</v>
      </c>
      <c r="F50" s="5" t="n">
        <v>46199.0270833333</v>
      </c>
      <c r="G50" s="5" t="n">
        <v>46199.3020833333</v>
      </c>
      <c r="H50" s="5" t="n">
        <v>46199.4770833333</v>
      </c>
      <c r="I50" s="4" t="n">
        <v>11</v>
      </c>
      <c r="J50" s="6" t="n">
        <v>4.6</v>
      </c>
      <c r="K50" s="6" t="n">
        <v>8.6</v>
      </c>
      <c r="L50" s="6" t="n">
        <v>6.6</v>
      </c>
      <c r="M50" s="6" t="n">
        <v>4.2</v>
      </c>
      <c r="N50" s="6" t="n">
        <v>24</v>
      </c>
    </row>
    <row r="51" customFormat="false" ht="15" hidden="false" customHeight="false" outlineLevel="0" collapsed="false">
      <c r="A51" s="4" t="s">
        <v>68</v>
      </c>
      <c r="B51" s="4" t="s">
        <v>24</v>
      </c>
      <c r="C51" s="4" t="s">
        <v>35</v>
      </c>
      <c r="D51" s="5" t="n">
        <v>46103.6541666667</v>
      </c>
      <c r="E51" s="5" t="n">
        <v>46104.6583333333</v>
      </c>
      <c r="F51" s="5" t="n">
        <v>46104.9083333333</v>
      </c>
      <c r="G51" s="5" t="n">
        <v>46105.1708333333</v>
      </c>
      <c r="H51" s="5" t="n">
        <v>46105.2916666667</v>
      </c>
      <c r="I51" s="4" t="n">
        <v>15</v>
      </c>
      <c r="J51" s="6" t="n">
        <v>24.1</v>
      </c>
      <c r="K51" s="6" t="n">
        <v>6</v>
      </c>
      <c r="L51" s="6" t="n">
        <v>6.3</v>
      </c>
      <c r="M51" s="6" t="n">
        <v>2.9</v>
      </c>
      <c r="N51" s="6" t="n">
        <v>39.3</v>
      </c>
    </row>
    <row r="52" customFormat="false" ht="15" hidden="false" customHeight="false" outlineLevel="0" collapsed="false">
      <c r="A52" s="4" t="s">
        <v>69</v>
      </c>
      <c r="B52" s="4" t="s">
        <v>20</v>
      </c>
      <c r="C52" s="4" t="s">
        <v>53</v>
      </c>
      <c r="D52" s="5" t="n">
        <v>46200.7576388889</v>
      </c>
      <c r="E52" s="5" t="n">
        <v>46201.8493055556</v>
      </c>
      <c r="F52" s="5" t="n">
        <v>46202.0576388889</v>
      </c>
      <c r="G52" s="5" t="n">
        <v>46202.4326388889</v>
      </c>
      <c r="H52" s="5" t="n">
        <v>46202.5159722222</v>
      </c>
      <c r="I52" s="4" t="n">
        <v>18</v>
      </c>
      <c r="J52" s="6" t="n">
        <v>26.2</v>
      </c>
      <c r="K52" s="6" t="n">
        <v>5</v>
      </c>
      <c r="L52" s="6" t="n">
        <v>9</v>
      </c>
      <c r="M52" s="6" t="n">
        <v>2</v>
      </c>
      <c r="N52" s="6" t="n">
        <v>42.2</v>
      </c>
    </row>
    <row r="53" customFormat="false" ht="15" hidden="false" customHeight="false" outlineLevel="0" collapsed="false">
      <c r="A53" s="4" t="s">
        <v>70</v>
      </c>
      <c r="B53" s="4" t="s">
        <v>20</v>
      </c>
      <c r="C53" s="4" t="s">
        <v>18</v>
      </c>
      <c r="D53" s="5" t="n">
        <v>46175.6805555556</v>
      </c>
      <c r="E53" s="5" t="n">
        <v>46176.7055555556</v>
      </c>
      <c r="F53" s="5" t="n">
        <v>46176.9722222222</v>
      </c>
      <c r="G53" s="5" t="n">
        <v>46177.1972222222</v>
      </c>
      <c r="H53" s="5" t="n">
        <v>46177.4180555556</v>
      </c>
      <c r="I53" s="4" t="n">
        <v>16</v>
      </c>
      <c r="J53" s="6" t="n">
        <v>24.6</v>
      </c>
      <c r="K53" s="6" t="n">
        <v>6.4</v>
      </c>
      <c r="L53" s="6" t="n">
        <v>5.4</v>
      </c>
      <c r="M53" s="6" t="n">
        <v>5.3</v>
      </c>
      <c r="N53" s="6" t="n">
        <v>41.7</v>
      </c>
    </row>
    <row r="54" customFormat="false" ht="15" hidden="false" customHeight="false" outlineLevel="0" collapsed="false">
      <c r="A54" s="4" t="s">
        <v>71</v>
      </c>
      <c r="B54" s="4" t="s">
        <v>24</v>
      </c>
      <c r="C54" s="4" t="s">
        <v>35</v>
      </c>
      <c r="D54" s="5" t="n">
        <v>46070.7208333333</v>
      </c>
      <c r="E54" s="5" t="n">
        <v>46071.7708333333</v>
      </c>
      <c r="F54" s="5" t="n">
        <v>46072.1166666667</v>
      </c>
      <c r="G54" s="5" t="n">
        <v>46072.3958333333</v>
      </c>
      <c r="H54" s="5" t="n">
        <v>46072.7166666667</v>
      </c>
      <c r="I54" s="4" t="n">
        <v>17</v>
      </c>
      <c r="J54" s="6" t="n">
        <v>25.2</v>
      </c>
      <c r="K54" s="6" t="n">
        <v>8.3</v>
      </c>
      <c r="L54" s="6" t="n">
        <v>6.7</v>
      </c>
      <c r="M54" s="6" t="n">
        <v>7.7</v>
      </c>
      <c r="N54" s="6" t="n">
        <v>47.9</v>
      </c>
    </row>
    <row r="55" customFormat="false" ht="15" hidden="false" customHeight="false" outlineLevel="0" collapsed="false">
      <c r="A55" s="4" t="s">
        <v>72</v>
      </c>
      <c r="B55" s="4" t="s">
        <v>24</v>
      </c>
      <c r="C55" s="4" t="s">
        <v>18</v>
      </c>
      <c r="D55" s="5" t="n">
        <v>46084.7979166667</v>
      </c>
      <c r="E55" s="5" t="n">
        <v>46085.6395833333</v>
      </c>
      <c r="F55" s="5" t="n">
        <v>46085.8229166667</v>
      </c>
      <c r="G55" s="5" t="n">
        <v>46086.1645833333</v>
      </c>
      <c r="H55" s="5" t="n">
        <v>46086.49375</v>
      </c>
      <c r="I55" s="4" t="n">
        <v>19</v>
      </c>
      <c r="J55" s="6" t="n">
        <v>20.2</v>
      </c>
      <c r="K55" s="6" t="n">
        <v>4.4</v>
      </c>
      <c r="L55" s="6" t="n">
        <v>8.2</v>
      </c>
      <c r="M55" s="6" t="n">
        <v>7.9</v>
      </c>
      <c r="N55" s="6" t="n">
        <v>40.7</v>
      </c>
    </row>
    <row r="56" customFormat="false" ht="15" hidden="false" customHeight="false" outlineLevel="0" collapsed="false">
      <c r="A56" s="4" t="s">
        <v>73</v>
      </c>
      <c r="B56" s="4" t="s">
        <v>20</v>
      </c>
      <c r="C56" s="4" t="s">
        <v>18</v>
      </c>
      <c r="D56" s="5" t="n">
        <v>46188.6979166667</v>
      </c>
      <c r="E56" s="5" t="n">
        <v>46189.8229166667</v>
      </c>
      <c r="F56" s="5" t="n">
        <v>46190.1104166667</v>
      </c>
      <c r="G56" s="5" t="n">
        <v>46190.3479166667</v>
      </c>
      <c r="H56" s="5" t="n">
        <v>46190.6229166667</v>
      </c>
      <c r="I56" s="4" t="n">
        <v>16</v>
      </c>
      <c r="J56" s="6" t="n">
        <v>27</v>
      </c>
      <c r="K56" s="6" t="n">
        <v>6.9</v>
      </c>
      <c r="L56" s="6" t="n">
        <v>5.7</v>
      </c>
      <c r="M56" s="6" t="n">
        <v>6.6</v>
      </c>
      <c r="N56" s="6" t="n">
        <v>46.2</v>
      </c>
    </row>
    <row r="57" customFormat="false" ht="15" hidden="false" customHeight="false" outlineLevel="0" collapsed="false">
      <c r="A57" s="4" t="s">
        <v>74</v>
      </c>
      <c r="B57" s="4" t="s">
        <v>20</v>
      </c>
      <c r="C57" s="4" t="s">
        <v>35</v>
      </c>
      <c r="D57" s="5" t="n">
        <v>46054.7597222222</v>
      </c>
      <c r="E57" s="5" t="n">
        <v>46055.6680555556</v>
      </c>
      <c r="F57" s="5" t="n">
        <v>46056.1513888889</v>
      </c>
      <c r="G57" s="5" t="n">
        <v>46056.5138888889</v>
      </c>
      <c r="H57" s="5" t="n">
        <v>46056.6138888889</v>
      </c>
      <c r="I57" s="4" t="n">
        <v>18</v>
      </c>
      <c r="J57" s="6" t="n">
        <v>21.8</v>
      </c>
      <c r="K57" s="6" t="n">
        <v>11.6</v>
      </c>
      <c r="L57" s="6" t="n">
        <v>8.7</v>
      </c>
      <c r="M57" s="6" t="n">
        <v>2.4</v>
      </c>
      <c r="N57" s="6" t="n">
        <v>44.5</v>
      </c>
    </row>
    <row r="58" customFormat="false" ht="15" hidden="false" customHeight="false" outlineLevel="0" collapsed="false">
      <c r="A58" s="4" t="s">
        <v>75</v>
      </c>
      <c r="B58" s="4" t="s">
        <v>20</v>
      </c>
      <c r="C58" s="4" t="s">
        <v>35</v>
      </c>
      <c r="D58" s="5" t="n">
        <v>46143.4368055556</v>
      </c>
      <c r="E58" s="5" t="n">
        <v>46143.8243055556</v>
      </c>
      <c r="F58" s="5" t="n">
        <v>46144.3201388889</v>
      </c>
      <c r="G58" s="5" t="n">
        <v>46144.7159722222</v>
      </c>
      <c r="H58" s="5" t="n">
        <v>46145.0784722222</v>
      </c>
      <c r="I58" s="4" t="n">
        <v>10</v>
      </c>
      <c r="J58" s="6" t="n">
        <v>9.3</v>
      </c>
      <c r="K58" s="6" t="n">
        <v>11.9</v>
      </c>
      <c r="L58" s="6" t="n">
        <v>9.5</v>
      </c>
      <c r="M58" s="6" t="n">
        <v>8.7</v>
      </c>
      <c r="N58" s="6" t="n">
        <v>39.4</v>
      </c>
    </row>
    <row r="59" customFormat="false" ht="15" hidden="false" customHeight="false" outlineLevel="0" collapsed="false">
      <c r="A59" s="4" t="s">
        <v>76</v>
      </c>
      <c r="B59" s="4" t="s">
        <v>24</v>
      </c>
      <c r="C59" s="4" t="s">
        <v>18</v>
      </c>
      <c r="D59" s="5" t="n">
        <v>46156.6236111111</v>
      </c>
      <c r="E59" s="5" t="n">
        <v>46157.6861111111</v>
      </c>
      <c r="F59" s="5" t="n">
        <v>46158.1444444444</v>
      </c>
      <c r="G59" s="5" t="n">
        <v>46158.6111111111</v>
      </c>
      <c r="H59" s="5" t="n">
        <v>46158.8319444444</v>
      </c>
      <c r="I59" s="4" t="n">
        <v>14</v>
      </c>
      <c r="J59" s="6" t="n">
        <v>25.5</v>
      </c>
      <c r="K59" s="6" t="n">
        <v>11</v>
      </c>
      <c r="L59" s="6" t="n">
        <v>11.2</v>
      </c>
      <c r="M59" s="6" t="n">
        <v>5.3</v>
      </c>
      <c r="N59" s="6" t="n">
        <v>53</v>
      </c>
    </row>
    <row r="60" customFormat="false" ht="15" hidden="false" customHeight="false" outlineLevel="0" collapsed="false">
      <c r="A60" s="4" t="s">
        <v>77</v>
      </c>
      <c r="B60" s="4" t="s">
        <v>20</v>
      </c>
      <c r="C60" s="4" t="s">
        <v>18</v>
      </c>
      <c r="D60" s="5" t="n">
        <v>46190.5340277778</v>
      </c>
      <c r="E60" s="5" t="n">
        <v>46190.8756944445</v>
      </c>
      <c r="F60" s="5" t="n">
        <v>46191.2215277778</v>
      </c>
      <c r="G60" s="5" t="n">
        <v>46191.4715277778</v>
      </c>
      <c r="H60" s="5" t="n">
        <v>46191.5756944444</v>
      </c>
      <c r="I60" s="4" t="n">
        <v>12</v>
      </c>
      <c r="J60" s="6" t="n">
        <v>8.2</v>
      </c>
      <c r="K60" s="6" t="n">
        <v>8.3</v>
      </c>
      <c r="L60" s="6" t="n">
        <v>6</v>
      </c>
      <c r="M60" s="6" t="n">
        <v>2.5</v>
      </c>
      <c r="N60" s="6" t="n">
        <v>25</v>
      </c>
    </row>
    <row r="61" customFormat="false" ht="15" hidden="false" customHeight="false" outlineLevel="0" collapsed="false">
      <c r="A61" s="4" t="s">
        <v>78</v>
      </c>
      <c r="B61" s="4" t="s">
        <v>20</v>
      </c>
      <c r="C61" s="4" t="s">
        <v>18</v>
      </c>
      <c r="D61" s="5" t="n">
        <v>46108.8368055556</v>
      </c>
      <c r="E61" s="5" t="n">
        <v>46109.7284722222</v>
      </c>
      <c r="F61" s="5" t="n">
        <v>46109.9076388889</v>
      </c>
      <c r="G61" s="5" t="n">
        <v>46110.3493055556</v>
      </c>
      <c r="H61" s="5" t="n">
        <v>46110.6368055556</v>
      </c>
      <c r="I61" s="4" t="n">
        <v>20</v>
      </c>
      <c r="J61" s="6" t="n">
        <v>21.4</v>
      </c>
      <c r="K61" s="6" t="n">
        <v>4.3</v>
      </c>
      <c r="L61" s="6" t="n">
        <v>10.6</v>
      </c>
      <c r="M61" s="6" t="n">
        <v>6.9</v>
      </c>
      <c r="N61" s="6" t="n">
        <v>43.2</v>
      </c>
    </row>
    <row r="62" customFormat="false" ht="15" hidden="false" customHeight="false" outlineLevel="0" collapsed="false">
      <c r="A62" s="4" t="s">
        <v>79</v>
      </c>
      <c r="B62" s="4" t="s">
        <v>20</v>
      </c>
      <c r="C62" s="4" t="s">
        <v>18</v>
      </c>
      <c r="D62" s="5" t="n">
        <v>46165.5854166667</v>
      </c>
      <c r="E62" s="5" t="n">
        <v>46166.50625</v>
      </c>
      <c r="F62" s="5" t="n">
        <v>46166.7645833333</v>
      </c>
      <c r="G62" s="5" t="n">
        <v>46167.30625</v>
      </c>
      <c r="H62" s="5" t="n">
        <v>46167.5604166667</v>
      </c>
      <c r="I62" s="4" t="n">
        <v>14</v>
      </c>
      <c r="J62" s="6" t="n">
        <v>22.1</v>
      </c>
      <c r="K62" s="6" t="n">
        <v>6.2</v>
      </c>
      <c r="L62" s="6" t="n">
        <v>13</v>
      </c>
      <c r="M62" s="6" t="n">
        <v>6.1</v>
      </c>
      <c r="N62" s="6" t="n">
        <v>47.4</v>
      </c>
    </row>
    <row r="63" customFormat="false" ht="15" hidden="false" customHeight="false" outlineLevel="0" collapsed="false">
      <c r="A63" s="4" t="s">
        <v>80</v>
      </c>
      <c r="B63" s="4" t="s">
        <v>17</v>
      </c>
      <c r="C63" s="4" t="s">
        <v>35</v>
      </c>
      <c r="D63" s="5" t="n">
        <v>46174.5416666667</v>
      </c>
      <c r="E63" s="5" t="n">
        <v>46175.0208333333</v>
      </c>
      <c r="F63" s="5" t="n">
        <v>46175.2291666667</v>
      </c>
      <c r="G63" s="5" t="n">
        <v>46175.5333333333</v>
      </c>
      <c r="H63" s="5" t="n">
        <v>46175.875</v>
      </c>
      <c r="I63" s="4" t="n">
        <v>13</v>
      </c>
      <c r="J63" s="6" t="n">
        <v>11.5</v>
      </c>
      <c r="K63" s="6" t="n">
        <v>5</v>
      </c>
      <c r="L63" s="6" t="n">
        <v>7.3</v>
      </c>
      <c r="M63" s="6" t="n">
        <v>8.2</v>
      </c>
      <c r="N63" s="6" t="n">
        <v>32</v>
      </c>
    </row>
    <row r="64" customFormat="false" ht="15" hidden="false" customHeight="false" outlineLevel="0" collapsed="false">
      <c r="A64" s="4" t="s">
        <v>81</v>
      </c>
      <c r="B64" s="4" t="s">
        <v>24</v>
      </c>
      <c r="C64" s="4" t="s">
        <v>18</v>
      </c>
      <c r="D64" s="5" t="n">
        <v>46166.83125</v>
      </c>
      <c r="E64" s="5" t="n">
        <v>46167.75625</v>
      </c>
      <c r="F64" s="5" t="n">
        <v>46167.93125</v>
      </c>
      <c r="G64" s="5" t="n">
        <v>46168.25625</v>
      </c>
      <c r="H64" s="5" t="n">
        <v>46168.3479166667</v>
      </c>
      <c r="I64" s="4" t="n">
        <v>19</v>
      </c>
      <c r="J64" s="6" t="n">
        <v>22.2</v>
      </c>
      <c r="K64" s="6" t="n">
        <v>4.2</v>
      </c>
      <c r="L64" s="6" t="n">
        <v>7.8</v>
      </c>
      <c r="M64" s="6" t="n">
        <v>2.2</v>
      </c>
      <c r="N64" s="6" t="n">
        <v>36.4</v>
      </c>
    </row>
    <row r="65" customFormat="false" ht="15" hidden="false" customHeight="false" outlineLevel="0" collapsed="false">
      <c r="A65" s="4" t="s">
        <v>82</v>
      </c>
      <c r="B65" s="4" t="s">
        <v>20</v>
      </c>
      <c r="C65" s="4" t="s">
        <v>18</v>
      </c>
      <c r="D65" s="5" t="n">
        <v>46130.7868055556</v>
      </c>
      <c r="E65" s="5" t="n">
        <v>46131.8159722222</v>
      </c>
      <c r="F65" s="5" t="n">
        <v>46131.9534722222</v>
      </c>
      <c r="G65" s="5" t="n">
        <v>46132.3618055556</v>
      </c>
      <c r="H65" s="5" t="n">
        <v>46132.4534722222</v>
      </c>
      <c r="I65" s="4" t="n">
        <v>18</v>
      </c>
      <c r="J65" s="6" t="n">
        <v>24.7</v>
      </c>
      <c r="K65" s="6" t="n">
        <v>3.3</v>
      </c>
      <c r="L65" s="6" t="n">
        <v>9.8</v>
      </c>
      <c r="M65" s="6" t="n">
        <v>2.2</v>
      </c>
      <c r="N65" s="6" t="n">
        <v>40</v>
      </c>
    </row>
    <row r="66" customFormat="false" ht="15" hidden="false" customHeight="false" outlineLevel="0" collapsed="false">
      <c r="A66" s="4" t="s">
        <v>83</v>
      </c>
      <c r="B66" s="4" t="s">
        <v>20</v>
      </c>
      <c r="C66" s="4" t="s">
        <v>18</v>
      </c>
      <c r="D66" s="5" t="n">
        <v>46033.39375</v>
      </c>
      <c r="E66" s="5" t="n">
        <v>46033.5104166667</v>
      </c>
      <c r="F66" s="5" t="n">
        <v>46033.7854166667</v>
      </c>
      <c r="G66" s="5" t="n">
        <v>46033.9354166667</v>
      </c>
      <c r="H66" s="5" t="n">
        <v>46034.13125</v>
      </c>
      <c r="I66" s="4" t="n">
        <v>9</v>
      </c>
      <c r="J66" s="6" t="n">
        <v>2.8</v>
      </c>
      <c r="K66" s="6" t="n">
        <v>6.6</v>
      </c>
      <c r="L66" s="6" t="n">
        <v>3.6</v>
      </c>
      <c r="M66" s="6" t="n">
        <v>4.7</v>
      </c>
      <c r="N66" s="6" t="n">
        <v>17.7</v>
      </c>
    </row>
    <row r="67" customFormat="false" ht="15" hidden="false" customHeight="false" outlineLevel="0" collapsed="false">
      <c r="A67" s="4" t="s">
        <v>84</v>
      </c>
      <c r="B67" s="4" t="s">
        <v>20</v>
      </c>
      <c r="C67" s="4" t="s">
        <v>18</v>
      </c>
      <c r="D67" s="5" t="n">
        <v>46124.5368055556</v>
      </c>
      <c r="E67" s="5" t="n">
        <v>46124.8451388889</v>
      </c>
      <c r="F67" s="5" t="n">
        <v>46125.2743055556</v>
      </c>
      <c r="G67" s="5" t="n">
        <v>46125.6159722222</v>
      </c>
      <c r="H67" s="5" t="n">
        <v>46125.9159722222</v>
      </c>
      <c r="I67" s="4" t="n">
        <v>12</v>
      </c>
      <c r="J67" s="6" t="n">
        <v>7.4</v>
      </c>
      <c r="K67" s="6" t="n">
        <v>10.3</v>
      </c>
      <c r="L67" s="6" t="n">
        <v>8.2</v>
      </c>
      <c r="M67" s="6" t="n">
        <v>7.2</v>
      </c>
      <c r="N67" s="6" t="n">
        <v>33.1</v>
      </c>
    </row>
    <row r="68" customFormat="false" ht="15" hidden="false" customHeight="false" outlineLevel="0" collapsed="false">
      <c r="A68" s="4" t="s">
        <v>85</v>
      </c>
      <c r="B68" s="4" t="s">
        <v>20</v>
      </c>
      <c r="C68" s="4" t="s">
        <v>53</v>
      </c>
      <c r="D68" s="5" t="n">
        <v>46084.7423611111</v>
      </c>
      <c r="E68" s="5" t="n">
        <v>46085.9756944445</v>
      </c>
      <c r="F68" s="5" t="n">
        <v>46086.0756944444</v>
      </c>
      <c r="G68" s="5" t="n">
        <v>46086.2131944444</v>
      </c>
      <c r="H68" s="5" t="n">
        <v>46086.3673611111</v>
      </c>
      <c r="I68" s="4" t="n">
        <v>17</v>
      </c>
      <c r="J68" s="6" t="n">
        <v>29.6</v>
      </c>
      <c r="K68" s="6" t="n">
        <v>2.4</v>
      </c>
      <c r="L68" s="6" t="n">
        <v>3.3</v>
      </c>
      <c r="M68" s="6" t="n">
        <v>3.7</v>
      </c>
      <c r="N68" s="6" t="n">
        <v>39</v>
      </c>
    </row>
    <row r="69" customFormat="false" ht="15" hidden="false" customHeight="false" outlineLevel="0" collapsed="false">
      <c r="A69" s="4" t="s">
        <v>86</v>
      </c>
      <c r="B69" s="4" t="s">
        <v>24</v>
      </c>
      <c r="C69" s="4" t="s">
        <v>18</v>
      </c>
      <c r="D69" s="5" t="n">
        <v>46088.4458333333</v>
      </c>
      <c r="E69" s="5" t="n">
        <v>46088.65</v>
      </c>
      <c r="F69" s="5" t="n">
        <v>46089.1291666667</v>
      </c>
      <c r="G69" s="5" t="n">
        <v>46089.4666666667</v>
      </c>
      <c r="H69" s="5" t="n">
        <v>46089.625</v>
      </c>
      <c r="I69" s="4" t="n">
        <v>10</v>
      </c>
      <c r="J69" s="6" t="n">
        <v>4.9</v>
      </c>
      <c r="K69" s="6" t="n">
        <v>11.5</v>
      </c>
      <c r="L69" s="6" t="n">
        <v>8.1</v>
      </c>
      <c r="M69" s="6" t="n">
        <v>3.8</v>
      </c>
      <c r="N69" s="6" t="n">
        <v>28.3</v>
      </c>
    </row>
    <row r="70" customFormat="false" ht="15" hidden="false" customHeight="false" outlineLevel="0" collapsed="false">
      <c r="A70" s="4" t="s">
        <v>87</v>
      </c>
      <c r="B70" s="4" t="s">
        <v>20</v>
      </c>
      <c r="C70" s="4" t="s">
        <v>18</v>
      </c>
      <c r="D70" s="5" t="n">
        <v>46056.7569444445</v>
      </c>
      <c r="E70" s="5" t="n">
        <v>46057.9902777778</v>
      </c>
      <c r="F70" s="5" t="n">
        <v>46058.1194444444</v>
      </c>
      <c r="G70" s="5" t="n">
        <v>46058.2569444445</v>
      </c>
      <c r="H70" s="5" t="n">
        <v>46058.4319444444</v>
      </c>
      <c r="I70" s="4" t="n">
        <v>18</v>
      </c>
      <c r="J70" s="6" t="n">
        <v>29.6</v>
      </c>
      <c r="K70" s="6" t="n">
        <v>3.1</v>
      </c>
      <c r="L70" s="6" t="n">
        <v>3.3</v>
      </c>
      <c r="M70" s="6" t="n">
        <v>4.2</v>
      </c>
      <c r="N70" s="6" t="n">
        <v>40.2</v>
      </c>
    </row>
    <row r="71" customFormat="false" ht="15" hidden="false" customHeight="false" outlineLevel="0" collapsed="false">
      <c r="A71" s="4" t="s">
        <v>88</v>
      </c>
      <c r="B71" s="4" t="s">
        <v>17</v>
      </c>
      <c r="C71" s="4" t="s">
        <v>53</v>
      </c>
      <c r="D71" s="5" t="n">
        <v>46128.8416666667</v>
      </c>
      <c r="E71" s="5" t="n">
        <v>46129.7083333333</v>
      </c>
      <c r="F71" s="5" t="n">
        <v>46130.0791666667</v>
      </c>
      <c r="G71" s="5" t="n">
        <v>46130.4916666667</v>
      </c>
      <c r="H71" s="5" t="n">
        <v>46130.6041666667</v>
      </c>
      <c r="I71" s="4" t="n">
        <v>20</v>
      </c>
      <c r="J71" s="6" t="n">
        <v>20.8</v>
      </c>
      <c r="K71" s="6" t="n">
        <v>8.9</v>
      </c>
      <c r="L71" s="6" t="n">
        <v>9.9</v>
      </c>
      <c r="M71" s="6" t="n">
        <v>2.7</v>
      </c>
      <c r="N71" s="6" t="n">
        <v>42.3</v>
      </c>
    </row>
    <row r="72" customFormat="false" ht="15" hidden="false" customHeight="false" outlineLevel="0" collapsed="false">
      <c r="A72" s="4" t="s">
        <v>89</v>
      </c>
      <c r="B72" s="4" t="s">
        <v>24</v>
      </c>
      <c r="C72" s="4" t="s">
        <v>35</v>
      </c>
      <c r="D72" s="5" t="n">
        <v>46180.8263888889</v>
      </c>
      <c r="E72" s="5" t="n">
        <v>46182.0680555556</v>
      </c>
      <c r="F72" s="5" t="n">
        <v>46182.4763888889</v>
      </c>
      <c r="G72" s="5" t="n">
        <v>46182.7597222222</v>
      </c>
      <c r="H72" s="5" t="n">
        <v>46182.9680555556</v>
      </c>
      <c r="I72" s="4" t="n">
        <v>19</v>
      </c>
      <c r="J72" s="6" t="n">
        <v>29.8</v>
      </c>
      <c r="K72" s="6" t="n">
        <v>9.8</v>
      </c>
      <c r="L72" s="6" t="n">
        <v>6.8</v>
      </c>
      <c r="M72" s="6" t="n">
        <v>5</v>
      </c>
      <c r="N72" s="6" t="n">
        <v>51.4</v>
      </c>
    </row>
    <row r="73" customFormat="false" ht="15" hidden="false" customHeight="false" outlineLevel="0" collapsed="false">
      <c r="A73" s="4" t="s">
        <v>90</v>
      </c>
      <c r="B73" s="4" t="s">
        <v>20</v>
      </c>
      <c r="C73" s="4" t="s">
        <v>18</v>
      </c>
      <c r="D73" s="5" t="n">
        <v>46114.3097222222</v>
      </c>
      <c r="E73" s="5" t="n">
        <v>46114.5972222222</v>
      </c>
      <c r="F73" s="5" t="n">
        <v>46114.7263888889</v>
      </c>
      <c r="G73" s="5" t="n">
        <v>46115.2930555556</v>
      </c>
      <c r="H73" s="5" t="n">
        <v>46115.5597222222</v>
      </c>
      <c r="I73" s="4" t="n">
        <v>7</v>
      </c>
      <c r="J73" s="6" t="n">
        <v>6.9</v>
      </c>
      <c r="K73" s="6" t="n">
        <v>3.1</v>
      </c>
      <c r="L73" s="6" t="n">
        <v>13.6</v>
      </c>
      <c r="M73" s="6" t="n">
        <v>6.4</v>
      </c>
      <c r="N73" s="6" t="n">
        <v>30</v>
      </c>
    </row>
    <row r="74" customFormat="false" ht="15" hidden="false" customHeight="false" outlineLevel="0" collapsed="false">
      <c r="A74" s="4" t="s">
        <v>91</v>
      </c>
      <c r="B74" s="4" t="s">
        <v>24</v>
      </c>
      <c r="C74" s="4" t="s">
        <v>35</v>
      </c>
      <c r="D74" s="5" t="n">
        <v>46138.48125</v>
      </c>
      <c r="E74" s="5" t="n">
        <v>46138.96875</v>
      </c>
      <c r="F74" s="5" t="n">
        <v>46139.1645833333</v>
      </c>
      <c r="G74" s="5" t="n">
        <v>46139.6604166667</v>
      </c>
      <c r="H74" s="5" t="n">
        <v>46139.9020833333</v>
      </c>
      <c r="I74" s="4" t="n">
        <v>11</v>
      </c>
      <c r="J74" s="6" t="n">
        <v>11.7</v>
      </c>
      <c r="K74" s="6" t="n">
        <v>4.7</v>
      </c>
      <c r="L74" s="6" t="n">
        <v>11.9</v>
      </c>
      <c r="M74" s="6" t="n">
        <v>5.8</v>
      </c>
      <c r="N74" s="6" t="n">
        <v>34.1</v>
      </c>
    </row>
    <row r="75" customFormat="false" ht="15" hidden="false" customHeight="false" outlineLevel="0" collapsed="false">
      <c r="A75" s="4" t="s">
        <v>92</v>
      </c>
      <c r="B75" s="4" t="s">
        <v>17</v>
      </c>
      <c r="C75" s="4" t="s">
        <v>18</v>
      </c>
      <c r="D75" s="5" t="n">
        <v>46178.5375</v>
      </c>
      <c r="E75" s="5" t="n">
        <v>46178.7875</v>
      </c>
      <c r="F75" s="5" t="n">
        <v>46179.2583333333</v>
      </c>
      <c r="G75" s="5" t="n">
        <v>46179.5125</v>
      </c>
      <c r="H75" s="5" t="n">
        <v>46179.7291666667</v>
      </c>
      <c r="I75" s="4" t="n">
        <v>12</v>
      </c>
      <c r="J75" s="6" t="n">
        <v>6</v>
      </c>
      <c r="K75" s="6" t="n">
        <v>11.3</v>
      </c>
      <c r="L75" s="6" t="n">
        <v>6.1</v>
      </c>
      <c r="M75" s="6" t="n">
        <v>5.2</v>
      </c>
      <c r="N75" s="6" t="n">
        <v>28.6</v>
      </c>
    </row>
    <row r="76" customFormat="false" ht="15" hidden="false" customHeight="false" outlineLevel="0" collapsed="false">
      <c r="A76" s="4" t="s">
        <v>93</v>
      </c>
      <c r="B76" s="4" t="s">
        <v>24</v>
      </c>
      <c r="C76" s="4" t="s">
        <v>18</v>
      </c>
      <c r="D76" s="5" t="n">
        <v>46198.5423611111</v>
      </c>
      <c r="E76" s="5" t="n">
        <v>46198.8756944445</v>
      </c>
      <c r="F76" s="5" t="n">
        <v>46199.0965277778</v>
      </c>
      <c r="G76" s="5" t="n">
        <v>46199.4465277778</v>
      </c>
      <c r="H76" s="5" t="n">
        <v>46199.6340277778</v>
      </c>
      <c r="I76" s="4" t="n">
        <v>13</v>
      </c>
      <c r="J76" s="6" t="n">
        <v>8</v>
      </c>
      <c r="K76" s="6" t="n">
        <v>5.3</v>
      </c>
      <c r="L76" s="6" t="n">
        <v>8.4</v>
      </c>
      <c r="M76" s="6" t="n">
        <v>4.5</v>
      </c>
      <c r="N76" s="6" t="n">
        <v>26.2</v>
      </c>
    </row>
    <row r="77" customFormat="false" ht="15" hidden="false" customHeight="false" outlineLevel="0" collapsed="false">
      <c r="A77" s="4" t="s">
        <v>94</v>
      </c>
      <c r="B77" s="4" t="s">
        <v>20</v>
      </c>
      <c r="C77" s="4" t="s">
        <v>18</v>
      </c>
      <c r="D77" s="5" t="n">
        <v>46179.7201388889</v>
      </c>
      <c r="E77" s="5" t="n">
        <v>46180.7868055556</v>
      </c>
      <c r="F77" s="5" t="n">
        <v>46181.0868055556</v>
      </c>
      <c r="G77" s="5" t="n">
        <v>46181.2993055556</v>
      </c>
      <c r="H77" s="5" t="n">
        <v>46181.4534722222</v>
      </c>
      <c r="I77" s="4" t="n">
        <v>17</v>
      </c>
      <c r="J77" s="6" t="n">
        <v>25.6</v>
      </c>
      <c r="K77" s="6" t="n">
        <v>7.2</v>
      </c>
      <c r="L77" s="6" t="n">
        <v>5.1</v>
      </c>
      <c r="M77" s="6" t="n">
        <v>3.7</v>
      </c>
      <c r="N77" s="6" t="n">
        <v>41.6</v>
      </c>
    </row>
    <row r="78" customFormat="false" ht="15" hidden="false" customHeight="false" outlineLevel="0" collapsed="false">
      <c r="A78" s="4" t="s">
        <v>95</v>
      </c>
      <c r="B78" s="4" t="s">
        <v>20</v>
      </c>
      <c r="C78" s="4" t="s">
        <v>18</v>
      </c>
      <c r="D78" s="5" t="n">
        <v>46088.7368055556</v>
      </c>
      <c r="E78" s="5" t="n">
        <v>46089.8659722222</v>
      </c>
      <c r="F78" s="5" t="n">
        <v>46090.1368055556</v>
      </c>
      <c r="G78" s="5" t="n">
        <v>46090.2701388889</v>
      </c>
      <c r="H78" s="5" t="n">
        <v>46090.4409722222</v>
      </c>
      <c r="I78" s="4" t="n">
        <v>17</v>
      </c>
      <c r="J78" s="6" t="n">
        <v>27.1</v>
      </c>
      <c r="K78" s="6" t="n">
        <v>6.5</v>
      </c>
      <c r="L78" s="6" t="n">
        <v>3.2</v>
      </c>
      <c r="M78" s="6" t="n">
        <v>4.1</v>
      </c>
      <c r="N78" s="6" t="n">
        <v>40.9</v>
      </c>
    </row>
    <row r="79" customFormat="false" ht="15" hidden="false" customHeight="false" outlineLevel="0" collapsed="false">
      <c r="A79" s="4" t="s">
        <v>96</v>
      </c>
      <c r="B79" s="4" t="s">
        <v>20</v>
      </c>
      <c r="C79" s="4" t="s">
        <v>18</v>
      </c>
      <c r="D79" s="5" t="n">
        <v>46196.6875</v>
      </c>
      <c r="E79" s="5" t="n">
        <v>46197.75</v>
      </c>
      <c r="F79" s="5" t="n">
        <v>46197.975</v>
      </c>
      <c r="G79" s="5" t="n">
        <v>46198.5583333333</v>
      </c>
      <c r="H79" s="5" t="n">
        <v>46198.8041666667</v>
      </c>
      <c r="I79" s="4" t="n">
        <v>16</v>
      </c>
      <c r="J79" s="6" t="n">
        <v>25.5</v>
      </c>
      <c r="K79" s="6" t="n">
        <v>5.4</v>
      </c>
      <c r="L79" s="6" t="n">
        <v>14</v>
      </c>
      <c r="M79" s="6" t="n">
        <v>5.9</v>
      </c>
      <c r="N79" s="6" t="n">
        <v>50.8</v>
      </c>
    </row>
    <row r="80" customFormat="false" ht="15" hidden="false" customHeight="false" outlineLevel="0" collapsed="false">
      <c r="A80" s="4" t="s">
        <v>97</v>
      </c>
      <c r="B80" s="4" t="s">
        <v>20</v>
      </c>
      <c r="C80" s="4" t="s">
        <v>18</v>
      </c>
      <c r="D80" s="5" t="n">
        <v>46105.5048611111</v>
      </c>
      <c r="E80" s="5" t="n">
        <v>46105.9131944445</v>
      </c>
      <c r="F80" s="5" t="n">
        <v>46106.1298611111</v>
      </c>
      <c r="G80" s="5" t="n">
        <v>46106.5965277778</v>
      </c>
      <c r="H80" s="5" t="n">
        <v>46106.9590277778</v>
      </c>
      <c r="I80" s="4" t="n">
        <v>12</v>
      </c>
      <c r="J80" s="6" t="n">
        <v>9.8</v>
      </c>
      <c r="K80" s="6" t="n">
        <v>5.2</v>
      </c>
      <c r="L80" s="6" t="n">
        <v>11.2</v>
      </c>
      <c r="M80" s="6" t="n">
        <v>8.7</v>
      </c>
      <c r="N80" s="6" t="n">
        <v>34.9</v>
      </c>
    </row>
    <row r="81" customFormat="false" ht="15" hidden="false" customHeight="false" outlineLevel="0" collapsed="false">
      <c r="A81" s="4" t="s">
        <v>98</v>
      </c>
      <c r="B81" s="4" t="s">
        <v>17</v>
      </c>
      <c r="C81" s="4" t="s">
        <v>18</v>
      </c>
      <c r="D81" s="5" t="n">
        <v>46150.5256944444</v>
      </c>
      <c r="E81" s="5" t="n">
        <v>46151.0173611111</v>
      </c>
      <c r="F81" s="5" t="n">
        <v>46151.3173611111</v>
      </c>
      <c r="G81" s="5" t="n">
        <v>46151.5715277778</v>
      </c>
      <c r="H81" s="5" t="n">
        <v>46151.6840277778</v>
      </c>
      <c r="I81" s="4" t="n">
        <v>12</v>
      </c>
      <c r="J81" s="6" t="n">
        <v>11.8</v>
      </c>
      <c r="K81" s="6" t="n">
        <v>7.2</v>
      </c>
      <c r="L81" s="6" t="n">
        <v>6.1</v>
      </c>
      <c r="M81" s="6" t="n">
        <v>2.7</v>
      </c>
      <c r="N81" s="6" t="n">
        <v>27.8</v>
      </c>
    </row>
    <row r="82" customFormat="false" ht="15" hidden="false" customHeight="false" outlineLevel="0" collapsed="false">
      <c r="A82" s="4" t="s">
        <v>99</v>
      </c>
      <c r="B82" s="4" t="s">
        <v>20</v>
      </c>
      <c r="C82" s="4" t="s">
        <v>18</v>
      </c>
      <c r="D82" s="5" t="n">
        <v>46072.53125</v>
      </c>
      <c r="E82" s="5" t="n">
        <v>46072.8770833333</v>
      </c>
      <c r="F82" s="5" t="n">
        <v>46073.0729166667</v>
      </c>
      <c r="G82" s="5" t="n">
        <v>46073.64375</v>
      </c>
      <c r="H82" s="5" t="n">
        <v>46073.8895833333</v>
      </c>
      <c r="I82" s="4" t="n">
        <v>12</v>
      </c>
      <c r="J82" s="6" t="n">
        <v>8.3</v>
      </c>
      <c r="K82" s="6" t="n">
        <v>4.7</v>
      </c>
      <c r="L82" s="6" t="n">
        <v>13.7</v>
      </c>
      <c r="M82" s="6" t="n">
        <v>5.9</v>
      </c>
      <c r="N82" s="6" t="n">
        <v>32.6</v>
      </c>
    </row>
    <row r="83" customFormat="false" ht="15" hidden="false" customHeight="false" outlineLevel="0" collapsed="false">
      <c r="A83" s="4" t="s">
        <v>100</v>
      </c>
      <c r="B83" s="4" t="s">
        <v>17</v>
      </c>
      <c r="C83" s="4" t="s">
        <v>18</v>
      </c>
      <c r="D83" s="5" t="n">
        <v>46152.375</v>
      </c>
      <c r="E83" s="5" t="n">
        <v>46152.6</v>
      </c>
      <c r="F83" s="5" t="n">
        <v>46152.8791666667</v>
      </c>
      <c r="G83" s="5" t="n">
        <v>46153.2041666667</v>
      </c>
      <c r="H83" s="5" t="n">
        <v>46153.3416666667</v>
      </c>
      <c r="I83" s="4" t="n">
        <v>9</v>
      </c>
      <c r="J83" s="6" t="n">
        <v>5.4</v>
      </c>
      <c r="K83" s="6" t="n">
        <v>6.7</v>
      </c>
      <c r="L83" s="6" t="n">
        <v>7.8</v>
      </c>
      <c r="M83" s="6" t="n">
        <v>3.3</v>
      </c>
      <c r="N83" s="6" t="n">
        <v>23.2</v>
      </c>
    </row>
    <row r="84" customFormat="false" ht="15" hidden="false" customHeight="false" outlineLevel="0" collapsed="false">
      <c r="A84" s="4" t="s">
        <v>101</v>
      </c>
      <c r="B84" s="4" t="s">
        <v>20</v>
      </c>
      <c r="C84" s="4" t="s">
        <v>53</v>
      </c>
      <c r="D84" s="5" t="n">
        <v>46149.4194444444</v>
      </c>
      <c r="E84" s="5" t="n">
        <v>46149.7194444445</v>
      </c>
      <c r="F84" s="5" t="n">
        <v>46149.8319444444</v>
      </c>
      <c r="G84" s="5" t="n">
        <v>46150.2444444444</v>
      </c>
      <c r="H84" s="5" t="n">
        <v>46150.3444444445</v>
      </c>
      <c r="I84" s="4" t="n">
        <v>10</v>
      </c>
      <c r="J84" s="6" t="n">
        <v>7.2</v>
      </c>
      <c r="K84" s="6" t="n">
        <v>2.7</v>
      </c>
      <c r="L84" s="6" t="n">
        <v>9.9</v>
      </c>
      <c r="M84" s="6" t="n">
        <v>2.4</v>
      </c>
      <c r="N84" s="6" t="n">
        <v>22.2</v>
      </c>
    </row>
    <row r="85" customFormat="false" ht="15" hidden="false" customHeight="false" outlineLevel="0" collapsed="false">
      <c r="A85" s="4" t="s">
        <v>102</v>
      </c>
      <c r="B85" s="4" t="s">
        <v>20</v>
      </c>
      <c r="C85" s="4" t="s">
        <v>18</v>
      </c>
      <c r="D85" s="5" t="n">
        <v>46104.3854166667</v>
      </c>
      <c r="E85" s="5" t="n">
        <v>46104.4979166667</v>
      </c>
      <c r="F85" s="5" t="n">
        <v>46104.8979166667</v>
      </c>
      <c r="G85" s="5" t="n">
        <v>46105.3020833333</v>
      </c>
      <c r="H85" s="5" t="n">
        <v>46105.6145833333</v>
      </c>
      <c r="I85" s="4" t="n">
        <v>9</v>
      </c>
      <c r="J85" s="6" t="n">
        <v>2.7</v>
      </c>
      <c r="K85" s="6" t="n">
        <v>9.6</v>
      </c>
      <c r="L85" s="6" t="n">
        <v>9.7</v>
      </c>
      <c r="M85" s="6" t="n">
        <v>7.5</v>
      </c>
      <c r="N85" s="6" t="n">
        <v>29.5</v>
      </c>
    </row>
    <row r="86" customFormat="false" ht="15" hidden="false" customHeight="false" outlineLevel="0" collapsed="false">
      <c r="A86" s="4" t="s">
        <v>103</v>
      </c>
      <c r="B86" s="4" t="s">
        <v>20</v>
      </c>
      <c r="C86" s="4" t="s">
        <v>18</v>
      </c>
      <c r="D86" s="5" t="n">
        <v>46142.8465277778</v>
      </c>
      <c r="E86" s="5" t="n">
        <v>46144.0381944445</v>
      </c>
      <c r="F86" s="5" t="n">
        <v>46144.5340277778</v>
      </c>
      <c r="G86" s="5" t="n">
        <v>46144.8006944444</v>
      </c>
      <c r="H86" s="5" t="n">
        <v>46145.0631944445</v>
      </c>
      <c r="I86" s="4" t="n">
        <v>20</v>
      </c>
      <c r="J86" s="6" t="n">
        <v>28.6</v>
      </c>
      <c r="K86" s="6" t="n">
        <v>11.9</v>
      </c>
      <c r="L86" s="6" t="n">
        <v>6.4</v>
      </c>
      <c r="M86" s="6" t="n">
        <v>6.3</v>
      </c>
      <c r="N86" s="6" t="n">
        <v>53.2</v>
      </c>
    </row>
    <row r="87" customFormat="false" ht="15" hidden="false" customHeight="false" outlineLevel="0" collapsed="false">
      <c r="A87" s="4" t="s">
        <v>104</v>
      </c>
      <c r="B87" s="4" t="s">
        <v>17</v>
      </c>
      <c r="C87" s="4" t="s">
        <v>35</v>
      </c>
      <c r="D87" s="5" t="n">
        <v>46080.6777777778</v>
      </c>
      <c r="E87" s="5" t="n">
        <v>46081.7861111111</v>
      </c>
      <c r="F87" s="5" t="n">
        <v>46081.9361111111</v>
      </c>
      <c r="G87" s="5" t="n">
        <v>46082.1402777778</v>
      </c>
      <c r="H87" s="5" t="n">
        <v>46082.2444444444</v>
      </c>
      <c r="I87" s="4" t="n">
        <v>16</v>
      </c>
      <c r="J87" s="6" t="n">
        <v>26.6</v>
      </c>
      <c r="K87" s="6" t="n">
        <v>3.6</v>
      </c>
      <c r="L87" s="6" t="n">
        <v>4.9</v>
      </c>
      <c r="M87" s="6" t="n">
        <v>2.5</v>
      </c>
      <c r="N87" s="6" t="n">
        <v>37.6</v>
      </c>
    </row>
    <row r="88" customFormat="false" ht="15" hidden="false" customHeight="false" outlineLevel="0" collapsed="false">
      <c r="A88" s="4" t="s">
        <v>105</v>
      </c>
      <c r="B88" s="4" t="s">
        <v>20</v>
      </c>
      <c r="C88" s="4" t="s">
        <v>18</v>
      </c>
      <c r="D88" s="5" t="n">
        <v>46179.5847222222</v>
      </c>
      <c r="E88" s="5" t="n">
        <v>46180.5138888889</v>
      </c>
      <c r="F88" s="5" t="n">
        <v>46180.8930555556</v>
      </c>
      <c r="G88" s="5" t="n">
        <v>46181.3388888889</v>
      </c>
      <c r="H88" s="5" t="n">
        <v>46181.5555555556</v>
      </c>
      <c r="I88" s="4" t="n">
        <v>14</v>
      </c>
      <c r="J88" s="6" t="n">
        <v>22.3</v>
      </c>
      <c r="K88" s="6" t="n">
        <v>9.1</v>
      </c>
      <c r="L88" s="6" t="n">
        <v>10.7</v>
      </c>
      <c r="M88" s="6" t="n">
        <v>5.2</v>
      </c>
      <c r="N88" s="6" t="n">
        <v>47.3</v>
      </c>
    </row>
    <row r="89" customFormat="false" ht="15" hidden="false" customHeight="false" outlineLevel="0" collapsed="false">
      <c r="A89" s="4" t="s">
        <v>106</v>
      </c>
      <c r="B89" s="4" t="s">
        <v>17</v>
      </c>
      <c r="C89" s="4" t="s">
        <v>53</v>
      </c>
      <c r="D89" s="5" t="n">
        <v>46187.7020833333</v>
      </c>
      <c r="E89" s="5" t="n">
        <v>46188.9229166667</v>
      </c>
      <c r="F89" s="5" t="n">
        <v>46189.1854166667</v>
      </c>
      <c r="G89" s="5" t="n">
        <v>46189.5604166667</v>
      </c>
      <c r="H89" s="5" t="n">
        <v>46189.83125</v>
      </c>
      <c r="I89" s="4" t="n">
        <v>16</v>
      </c>
      <c r="J89" s="6" t="n">
        <v>29.3</v>
      </c>
      <c r="K89" s="6" t="n">
        <v>6.3</v>
      </c>
      <c r="L89" s="6" t="n">
        <v>9</v>
      </c>
      <c r="M89" s="6" t="n">
        <v>6.5</v>
      </c>
      <c r="N89" s="6" t="n">
        <v>51.1</v>
      </c>
    </row>
    <row r="90" customFormat="false" ht="15" hidden="false" customHeight="false" outlineLevel="0" collapsed="false">
      <c r="A90" s="4" t="s">
        <v>107</v>
      </c>
      <c r="B90" s="4" t="s">
        <v>24</v>
      </c>
      <c r="C90" s="4" t="s">
        <v>35</v>
      </c>
      <c r="D90" s="5" t="n">
        <v>46045.3680555556</v>
      </c>
      <c r="E90" s="5" t="n">
        <v>46045.5263888889</v>
      </c>
      <c r="F90" s="5" t="n">
        <v>46045.9222222222</v>
      </c>
      <c r="G90" s="5" t="n">
        <v>46046.3097222222</v>
      </c>
      <c r="H90" s="5" t="n">
        <v>46046.4763888889</v>
      </c>
      <c r="I90" s="4" t="n">
        <v>8</v>
      </c>
      <c r="J90" s="6" t="n">
        <v>3.8</v>
      </c>
      <c r="K90" s="6" t="n">
        <v>9.5</v>
      </c>
      <c r="L90" s="6" t="n">
        <v>9.3</v>
      </c>
      <c r="M90" s="6" t="n">
        <v>4</v>
      </c>
      <c r="N90" s="6" t="n">
        <v>26.6</v>
      </c>
    </row>
    <row r="91" customFormat="false" ht="15" hidden="false" customHeight="false" outlineLevel="0" collapsed="false">
      <c r="A91" s="4" t="s">
        <v>108</v>
      </c>
      <c r="B91" s="4" t="s">
        <v>20</v>
      </c>
      <c r="C91" s="4" t="s">
        <v>18</v>
      </c>
      <c r="D91" s="5" t="n">
        <v>46206.5951388889</v>
      </c>
      <c r="E91" s="5" t="n">
        <v>46207.6368055556</v>
      </c>
      <c r="F91" s="5" t="n">
        <v>46207.9243055556</v>
      </c>
      <c r="G91" s="5" t="n">
        <v>46208.0868055556</v>
      </c>
      <c r="H91" s="5" t="n">
        <v>46208.1826388889</v>
      </c>
      <c r="I91" s="4" t="n">
        <v>14</v>
      </c>
      <c r="J91" s="6" t="n">
        <v>25</v>
      </c>
      <c r="K91" s="6" t="n">
        <v>6.9</v>
      </c>
      <c r="L91" s="6" t="n">
        <v>3.9</v>
      </c>
      <c r="M91" s="6" t="n">
        <v>2.3</v>
      </c>
      <c r="N91" s="6" t="n">
        <v>38.1</v>
      </c>
    </row>
    <row r="92" customFormat="false" ht="15" hidden="false" customHeight="false" outlineLevel="0" collapsed="false">
      <c r="A92" s="4" t="s">
        <v>109</v>
      </c>
      <c r="B92" s="4" t="s">
        <v>20</v>
      </c>
      <c r="C92" s="4" t="s">
        <v>18</v>
      </c>
      <c r="D92" s="5" t="n">
        <v>46091.3013888889</v>
      </c>
      <c r="E92" s="5" t="n">
        <v>46091.6263888889</v>
      </c>
      <c r="F92" s="5" t="n">
        <v>46092.0597222222</v>
      </c>
      <c r="G92" s="5" t="n">
        <v>46092.4472222222</v>
      </c>
      <c r="H92" s="5" t="n">
        <v>46092.8097222222</v>
      </c>
      <c r="I92" s="4" t="n">
        <v>7</v>
      </c>
      <c r="J92" s="6" t="n">
        <v>7.8</v>
      </c>
      <c r="K92" s="6" t="n">
        <v>10.4</v>
      </c>
      <c r="L92" s="6" t="n">
        <v>9.3</v>
      </c>
      <c r="M92" s="6" t="n">
        <v>8.7</v>
      </c>
      <c r="N92" s="6" t="n">
        <v>36.2</v>
      </c>
    </row>
    <row r="93" customFormat="false" ht="15" hidden="false" customHeight="false" outlineLevel="0" collapsed="false">
      <c r="A93" s="4" t="s">
        <v>110</v>
      </c>
      <c r="B93" s="4" t="s">
        <v>24</v>
      </c>
      <c r="C93" s="4" t="s">
        <v>18</v>
      </c>
      <c r="D93" s="5" t="n">
        <v>46095.7</v>
      </c>
      <c r="E93" s="5" t="n">
        <v>46096.85</v>
      </c>
      <c r="F93" s="5" t="n">
        <v>46097.1291666667</v>
      </c>
      <c r="G93" s="5" t="n">
        <v>46097.5541666667</v>
      </c>
      <c r="H93" s="5" t="n">
        <v>46097.9041666667</v>
      </c>
      <c r="I93" s="4" t="n">
        <v>16</v>
      </c>
      <c r="J93" s="6" t="n">
        <v>27.6</v>
      </c>
      <c r="K93" s="6" t="n">
        <v>6.7</v>
      </c>
      <c r="L93" s="6" t="n">
        <v>10.2</v>
      </c>
      <c r="M93" s="6" t="n">
        <v>8.4</v>
      </c>
      <c r="N93" s="6" t="n">
        <v>52.9</v>
      </c>
    </row>
    <row r="94" customFormat="false" ht="15" hidden="false" customHeight="false" outlineLevel="0" collapsed="false">
      <c r="A94" s="4" t="s">
        <v>111</v>
      </c>
      <c r="B94" s="4" t="s">
        <v>20</v>
      </c>
      <c r="C94" s="4" t="s">
        <v>18</v>
      </c>
      <c r="D94" s="5" t="n">
        <v>46189.7951388889</v>
      </c>
      <c r="E94" s="5" t="n">
        <v>46190.8243055556</v>
      </c>
      <c r="F94" s="5" t="n">
        <v>46191.0784722222</v>
      </c>
      <c r="G94" s="5" t="n">
        <v>46191.3493055556</v>
      </c>
      <c r="H94" s="5" t="n">
        <v>46191.4618055556</v>
      </c>
      <c r="I94" s="4" t="n">
        <v>19</v>
      </c>
      <c r="J94" s="6" t="n">
        <v>24.7</v>
      </c>
      <c r="K94" s="6" t="n">
        <v>6.1</v>
      </c>
      <c r="L94" s="6" t="n">
        <v>6.5</v>
      </c>
      <c r="M94" s="6" t="n">
        <v>2.7</v>
      </c>
      <c r="N94" s="6" t="n">
        <v>40</v>
      </c>
    </row>
    <row r="95" customFormat="false" ht="15" hidden="false" customHeight="false" outlineLevel="0" collapsed="false">
      <c r="A95" s="4" t="s">
        <v>112</v>
      </c>
      <c r="B95" s="4" t="s">
        <v>20</v>
      </c>
      <c r="C95" s="4" t="s">
        <v>18</v>
      </c>
      <c r="D95" s="5" t="n">
        <v>46153.5173611111</v>
      </c>
      <c r="E95" s="5" t="n">
        <v>46153.9548611111</v>
      </c>
      <c r="F95" s="5" t="n">
        <v>46154.2673611111</v>
      </c>
      <c r="G95" s="5" t="n">
        <v>46154.6006944445</v>
      </c>
      <c r="H95" s="5" t="n">
        <v>46154.7756944444</v>
      </c>
      <c r="I95" s="4" t="n">
        <v>12</v>
      </c>
      <c r="J95" s="6" t="n">
        <v>10.5</v>
      </c>
      <c r="K95" s="6" t="n">
        <v>7.5</v>
      </c>
      <c r="L95" s="6" t="n">
        <v>8</v>
      </c>
      <c r="M95" s="6" t="n">
        <v>4.2</v>
      </c>
      <c r="N95" s="6" t="n">
        <v>30.2</v>
      </c>
    </row>
    <row r="96" customFormat="false" ht="15" hidden="false" customHeight="false" outlineLevel="0" collapsed="false">
      <c r="A96" s="4" t="s">
        <v>113</v>
      </c>
      <c r="B96" s="4" t="s">
        <v>20</v>
      </c>
      <c r="C96" s="4" t="s">
        <v>53</v>
      </c>
      <c r="D96" s="5" t="n">
        <v>46130.8277777778</v>
      </c>
      <c r="E96" s="5" t="n">
        <v>46132.0736111111</v>
      </c>
      <c r="F96" s="5" t="n">
        <v>46132.4319444444</v>
      </c>
      <c r="G96" s="5" t="n">
        <v>46132.8069444444</v>
      </c>
      <c r="H96" s="5" t="n">
        <v>46133.0111111111</v>
      </c>
      <c r="I96" s="4" t="n">
        <v>19</v>
      </c>
      <c r="J96" s="6" t="n">
        <v>29.9</v>
      </c>
      <c r="K96" s="6" t="n">
        <v>8.6</v>
      </c>
      <c r="L96" s="6" t="n">
        <v>9</v>
      </c>
      <c r="M96" s="6" t="n">
        <v>4.9</v>
      </c>
      <c r="N96" s="6" t="n">
        <v>52.4</v>
      </c>
    </row>
    <row r="97" customFormat="false" ht="15" hidden="false" customHeight="false" outlineLevel="0" collapsed="false">
      <c r="A97" s="4" t="s">
        <v>114</v>
      </c>
      <c r="B97" s="4" t="s">
        <v>20</v>
      </c>
      <c r="C97" s="4" t="s">
        <v>18</v>
      </c>
      <c r="D97" s="5" t="n">
        <v>46154.7</v>
      </c>
      <c r="E97" s="5" t="n">
        <v>46155.5541666667</v>
      </c>
      <c r="F97" s="5" t="n">
        <v>46155.75</v>
      </c>
      <c r="G97" s="5" t="n">
        <v>46155.9333333333</v>
      </c>
      <c r="H97" s="5" t="n">
        <v>46156.1</v>
      </c>
      <c r="I97" s="4" t="n">
        <v>16</v>
      </c>
      <c r="J97" s="6" t="n">
        <v>20.5</v>
      </c>
      <c r="K97" s="6" t="n">
        <v>4.7</v>
      </c>
      <c r="L97" s="6" t="n">
        <v>4.4</v>
      </c>
      <c r="M97" s="6" t="n">
        <v>4</v>
      </c>
      <c r="N97" s="6" t="n">
        <v>33.6</v>
      </c>
    </row>
    <row r="98" customFormat="false" ht="15" hidden="false" customHeight="false" outlineLevel="0" collapsed="false">
      <c r="A98" s="4" t="s">
        <v>115</v>
      </c>
      <c r="B98" s="4" t="s">
        <v>24</v>
      </c>
      <c r="C98" s="4" t="s">
        <v>18</v>
      </c>
      <c r="D98" s="5" t="n">
        <v>46034.9013888889</v>
      </c>
      <c r="E98" s="5" t="n">
        <v>46036.0680555556</v>
      </c>
      <c r="F98" s="5" t="n">
        <v>46036.4472222222</v>
      </c>
      <c r="G98" s="5" t="n">
        <v>46036.7138888889</v>
      </c>
      <c r="H98" s="5" t="n">
        <v>46036.8013888889</v>
      </c>
      <c r="I98" s="4" t="n">
        <v>21</v>
      </c>
      <c r="J98" s="6" t="n">
        <v>28</v>
      </c>
      <c r="K98" s="6" t="n">
        <v>9.1</v>
      </c>
      <c r="L98" s="6" t="n">
        <v>6.4</v>
      </c>
      <c r="M98" s="6" t="n">
        <v>2.1</v>
      </c>
      <c r="N98" s="6" t="n">
        <v>45.6</v>
      </c>
    </row>
    <row r="99" customFormat="false" ht="15" hidden="false" customHeight="false" outlineLevel="0" collapsed="false">
      <c r="A99" s="4" t="s">
        <v>116</v>
      </c>
      <c r="B99" s="4" t="s">
        <v>20</v>
      </c>
      <c r="C99" s="4" t="s">
        <v>18</v>
      </c>
      <c r="D99" s="5" t="n">
        <v>46056.5881944444</v>
      </c>
      <c r="E99" s="5" t="n">
        <v>46057.6923611111</v>
      </c>
      <c r="F99" s="5" t="n">
        <v>46057.8381944444</v>
      </c>
      <c r="G99" s="5" t="n">
        <v>46058.3923611111</v>
      </c>
      <c r="H99" s="5" t="n">
        <v>46058.5590277778</v>
      </c>
      <c r="I99" s="4" t="n">
        <v>14</v>
      </c>
      <c r="J99" s="6" t="n">
        <v>26.5</v>
      </c>
      <c r="K99" s="6" t="n">
        <v>3.5</v>
      </c>
      <c r="L99" s="6" t="n">
        <v>13.3</v>
      </c>
      <c r="M99" s="6" t="n">
        <v>4</v>
      </c>
      <c r="N99" s="6" t="n">
        <v>47.3</v>
      </c>
    </row>
    <row r="100" customFormat="false" ht="15" hidden="false" customHeight="false" outlineLevel="0" collapsed="false">
      <c r="A100" s="4" t="s">
        <v>117</v>
      </c>
      <c r="B100" s="4" t="s">
        <v>17</v>
      </c>
      <c r="C100" s="4" t="s">
        <v>18</v>
      </c>
      <c r="D100" s="5" t="n">
        <v>46150.8854166667</v>
      </c>
      <c r="E100" s="5" t="n">
        <v>46151.9104166667</v>
      </c>
      <c r="F100" s="5" t="n">
        <v>46152.0520833333</v>
      </c>
      <c r="G100" s="5" t="n">
        <v>46152.2645833333</v>
      </c>
      <c r="H100" s="5" t="n">
        <v>46152.5229166667</v>
      </c>
      <c r="I100" s="4" t="n">
        <v>21</v>
      </c>
      <c r="J100" s="6" t="n">
        <v>24.6</v>
      </c>
      <c r="K100" s="6" t="n">
        <v>3.4</v>
      </c>
      <c r="L100" s="6" t="n">
        <v>5.1</v>
      </c>
      <c r="M100" s="6" t="n">
        <v>6.2</v>
      </c>
      <c r="N100" s="6" t="n">
        <v>39.3</v>
      </c>
    </row>
    <row r="101" customFormat="false" ht="15" hidden="false" customHeight="false" outlineLevel="0" collapsed="false">
      <c r="A101" s="4" t="s">
        <v>118</v>
      </c>
      <c r="B101" s="4" t="s">
        <v>17</v>
      </c>
      <c r="C101" s="4" t="s">
        <v>18</v>
      </c>
      <c r="D101" s="5" t="n">
        <v>46044.5347222222</v>
      </c>
      <c r="E101" s="5" t="n">
        <v>46044.9847222222</v>
      </c>
      <c r="F101" s="5" t="n">
        <v>46045.2097222222</v>
      </c>
      <c r="G101" s="5" t="n">
        <v>46045.6972222222</v>
      </c>
      <c r="H101" s="5" t="n">
        <v>46045.8597222222</v>
      </c>
      <c r="I101" s="4" t="n">
        <v>12</v>
      </c>
      <c r="J101" s="6" t="n">
        <v>10.8</v>
      </c>
      <c r="K101" s="6" t="n">
        <v>5.4</v>
      </c>
      <c r="L101" s="6" t="n">
        <v>11.7</v>
      </c>
      <c r="M101" s="6" t="n">
        <v>3.9</v>
      </c>
      <c r="N101" s="6" t="n">
        <v>31.8</v>
      </c>
    </row>
    <row r="102" customFormat="false" ht="15" hidden="false" customHeight="false" outlineLevel="0" collapsed="false">
      <c r="A102" s="4" t="s">
        <v>119</v>
      </c>
      <c r="B102" s="4" t="s">
        <v>20</v>
      </c>
      <c r="C102" s="4" t="s">
        <v>35</v>
      </c>
      <c r="D102" s="5" t="n">
        <v>46177.6958333333</v>
      </c>
      <c r="E102" s="5" t="n">
        <v>46178.7333333333</v>
      </c>
      <c r="F102" s="5" t="n">
        <v>46178.8791666667</v>
      </c>
      <c r="G102" s="5" t="n">
        <v>46179.25</v>
      </c>
      <c r="H102" s="5" t="n">
        <v>46179.4333333333</v>
      </c>
      <c r="I102" s="4" t="n">
        <v>16</v>
      </c>
      <c r="J102" s="6" t="n">
        <v>24.9</v>
      </c>
      <c r="K102" s="6" t="n">
        <v>3.5</v>
      </c>
      <c r="L102" s="6" t="n">
        <v>8.9</v>
      </c>
      <c r="M102" s="6" t="n">
        <v>4.4</v>
      </c>
      <c r="N102" s="6" t="n">
        <v>41.7</v>
      </c>
    </row>
    <row r="103" customFormat="false" ht="15" hidden="false" customHeight="false" outlineLevel="0" collapsed="false">
      <c r="A103" s="4" t="s">
        <v>120</v>
      </c>
      <c r="B103" s="4" t="s">
        <v>17</v>
      </c>
      <c r="C103" s="4" t="s">
        <v>18</v>
      </c>
      <c r="D103" s="5" t="n">
        <v>46143.8715277778</v>
      </c>
      <c r="E103" s="5" t="n">
        <v>46144.7840277778</v>
      </c>
      <c r="F103" s="5" t="n">
        <v>46145.1590277778</v>
      </c>
      <c r="G103" s="5" t="n">
        <v>46145.5465277778</v>
      </c>
      <c r="H103" s="5" t="n">
        <v>46145.6965277778</v>
      </c>
      <c r="I103" s="4" t="n">
        <v>20</v>
      </c>
      <c r="J103" s="6" t="n">
        <v>21.9</v>
      </c>
      <c r="K103" s="6" t="n">
        <v>9</v>
      </c>
      <c r="L103" s="6" t="n">
        <v>9.3</v>
      </c>
      <c r="M103" s="6" t="n">
        <v>3.6</v>
      </c>
      <c r="N103" s="6" t="n">
        <v>43.8</v>
      </c>
    </row>
    <row r="104" customFormat="false" ht="15" hidden="false" customHeight="false" outlineLevel="0" collapsed="false">
      <c r="A104" s="4" t="s">
        <v>121</v>
      </c>
      <c r="B104" s="4" t="s">
        <v>24</v>
      </c>
      <c r="C104" s="4" t="s">
        <v>18</v>
      </c>
      <c r="D104" s="5" t="n">
        <v>46148.74375</v>
      </c>
      <c r="E104" s="5" t="n">
        <v>46149.7354166667</v>
      </c>
      <c r="F104" s="5" t="n">
        <v>46150.23125</v>
      </c>
      <c r="G104" s="5" t="n">
        <v>46150.71875</v>
      </c>
      <c r="H104" s="5" t="n">
        <v>46150.99375</v>
      </c>
      <c r="I104" s="4" t="n">
        <v>17</v>
      </c>
      <c r="J104" s="6" t="n">
        <v>23.8</v>
      </c>
      <c r="K104" s="6" t="n">
        <v>11.9</v>
      </c>
      <c r="L104" s="6" t="n">
        <v>11.7</v>
      </c>
      <c r="M104" s="6" t="n">
        <v>6.6</v>
      </c>
      <c r="N104" s="6" t="n">
        <v>54</v>
      </c>
    </row>
    <row r="105" customFormat="false" ht="15" hidden="false" customHeight="false" outlineLevel="0" collapsed="false">
      <c r="A105" s="4" t="s">
        <v>122</v>
      </c>
      <c r="B105" s="4" t="s">
        <v>20</v>
      </c>
      <c r="C105" s="4" t="s">
        <v>53</v>
      </c>
      <c r="D105" s="5" t="n">
        <v>46059.6506944444</v>
      </c>
      <c r="E105" s="5" t="n">
        <v>46060.6215277778</v>
      </c>
      <c r="F105" s="5" t="n">
        <v>46060.7465277778</v>
      </c>
      <c r="G105" s="5" t="n">
        <v>46061.2590277778</v>
      </c>
      <c r="H105" s="5" t="n">
        <v>46061.3715277778</v>
      </c>
      <c r="I105" s="4" t="n">
        <v>15</v>
      </c>
      <c r="J105" s="6" t="n">
        <v>23.3</v>
      </c>
      <c r="K105" s="6" t="n">
        <v>3</v>
      </c>
      <c r="L105" s="6" t="n">
        <v>12.3</v>
      </c>
      <c r="M105" s="6" t="n">
        <v>2.7</v>
      </c>
      <c r="N105" s="6" t="n">
        <v>41.3</v>
      </c>
    </row>
    <row r="106" customFormat="false" ht="15" hidden="false" customHeight="false" outlineLevel="0" collapsed="false">
      <c r="A106" s="4" t="s">
        <v>123</v>
      </c>
      <c r="B106" s="4" t="s">
        <v>24</v>
      </c>
      <c r="C106" s="4" t="s">
        <v>18</v>
      </c>
      <c r="D106" s="5" t="n">
        <v>46063.6118055556</v>
      </c>
      <c r="E106" s="5" t="n">
        <v>46064.8493055556</v>
      </c>
      <c r="F106" s="5" t="n">
        <v>46064.9618055556</v>
      </c>
      <c r="G106" s="5" t="n">
        <v>46065.4451388889</v>
      </c>
      <c r="H106" s="5" t="n">
        <v>46065.6076388889</v>
      </c>
      <c r="I106" s="4" t="n">
        <v>14</v>
      </c>
      <c r="J106" s="6" t="n">
        <v>29.7</v>
      </c>
      <c r="K106" s="6" t="n">
        <v>2.7</v>
      </c>
      <c r="L106" s="6" t="n">
        <v>11.6</v>
      </c>
      <c r="M106" s="6" t="n">
        <v>3.9</v>
      </c>
      <c r="N106" s="6" t="n">
        <v>47.9</v>
      </c>
    </row>
    <row r="107" customFormat="false" ht="15" hidden="false" customHeight="false" outlineLevel="0" collapsed="false">
      <c r="A107" s="4" t="s">
        <v>124</v>
      </c>
      <c r="B107" s="4" t="s">
        <v>17</v>
      </c>
      <c r="C107" s="4" t="s">
        <v>18</v>
      </c>
      <c r="D107" s="5" t="n">
        <v>46047.8291666667</v>
      </c>
      <c r="E107" s="5" t="n">
        <v>46048.9416666667</v>
      </c>
      <c r="F107" s="5" t="n">
        <v>46049.2458333333</v>
      </c>
      <c r="G107" s="5" t="n">
        <v>46049.8083333333</v>
      </c>
      <c r="H107" s="5" t="n">
        <v>46050.075</v>
      </c>
      <c r="I107" s="4" t="n">
        <v>19</v>
      </c>
      <c r="J107" s="6" t="n">
        <v>26.7</v>
      </c>
      <c r="K107" s="6" t="n">
        <v>7.3</v>
      </c>
      <c r="L107" s="6" t="n">
        <v>13.5</v>
      </c>
      <c r="M107" s="6" t="n">
        <v>6.4</v>
      </c>
      <c r="N107" s="6" t="n">
        <v>53.9</v>
      </c>
    </row>
    <row r="108" customFormat="false" ht="15" hidden="false" customHeight="false" outlineLevel="0" collapsed="false">
      <c r="A108" s="4" t="s">
        <v>125</v>
      </c>
      <c r="B108" s="4" t="s">
        <v>24</v>
      </c>
      <c r="C108" s="4" t="s">
        <v>18</v>
      </c>
      <c r="D108" s="5" t="n">
        <v>46165.3361111111</v>
      </c>
      <c r="E108" s="5" t="n">
        <v>46165.4777777778</v>
      </c>
      <c r="F108" s="5" t="n">
        <v>46165.8444444445</v>
      </c>
      <c r="G108" s="5" t="n">
        <v>46166.1027777778</v>
      </c>
      <c r="H108" s="5" t="n">
        <v>46166.2527777778</v>
      </c>
      <c r="I108" s="4" t="n">
        <v>8</v>
      </c>
      <c r="J108" s="6" t="n">
        <v>3.4</v>
      </c>
      <c r="K108" s="6" t="n">
        <v>8.8</v>
      </c>
      <c r="L108" s="6" t="n">
        <v>6.2</v>
      </c>
      <c r="M108" s="6" t="n">
        <v>3.6</v>
      </c>
      <c r="N108" s="6" t="n">
        <v>22</v>
      </c>
    </row>
    <row r="109" customFormat="false" ht="15" hidden="false" customHeight="false" outlineLevel="0" collapsed="false">
      <c r="A109" s="4" t="s">
        <v>126</v>
      </c>
      <c r="B109" s="4" t="s">
        <v>20</v>
      </c>
      <c r="C109" s="4" t="s">
        <v>53</v>
      </c>
      <c r="D109" s="5" t="n">
        <v>46189.7125</v>
      </c>
      <c r="E109" s="5" t="n">
        <v>46190.7291666667</v>
      </c>
      <c r="F109" s="5" t="n">
        <v>46191.1</v>
      </c>
      <c r="G109" s="5" t="n">
        <v>46191.6375</v>
      </c>
      <c r="H109" s="5" t="n">
        <v>46191.7333333333</v>
      </c>
      <c r="I109" s="4" t="n">
        <v>17</v>
      </c>
      <c r="J109" s="6" t="n">
        <v>24.4</v>
      </c>
      <c r="K109" s="6" t="n">
        <v>8.9</v>
      </c>
      <c r="L109" s="6" t="n">
        <v>12.9</v>
      </c>
      <c r="M109" s="6" t="n">
        <v>2.3</v>
      </c>
      <c r="N109" s="6" t="n">
        <v>48.5</v>
      </c>
    </row>
    <row r="110" customFormat="false" ht="15" hidden="false" customHeight="false" outlineLevel="0" collapsed="false">
      <c r="A110" s="4" t="s">
        <v>127</v>
      </c>
      <c r="B110" s="4" t="s">
        <v>24</v>
      </c>
      <c r="C110" s="4" t="s">
        <v>18</v>
      </c>
      <c r="D110" s="5" t="n">
        <v>46122.59375</v>
      </c>
      <c r="E110" s="5" t="n">
        <v>46123.6479166667</v>
      </c>
      <c r="F110" s="5" t="n">
        <v>46123.96875</v>
      </c>
      <c r="G110" s="5" t="n">
        <v>46124.45625</v>
      </c>
      <c r="H110" s="5" t="n">
        <v>46124.5895833333</v>
      </c>
      <c r="I110" s="4" t="n">
        <v>14</v>
      </c>
      <c r="J110" s="6" t="n">
        <v>25.3</v>
      </c>
      <c r="K110" s="6" t="n">
        <v>7.7</v>
      </c>
      <c r="L110" s="6" t="n">
        <v>11.7</v>
      </c>
      <c r="M110" s="6" t="n">
        <v>3.2</v>
      </c>
      <c r="N110" s="6" t="n">
        <v>47.9</v>
      </c>
    </row>
    <row r="111" customFormat="false" ht="15" hidden="false" customHeight="false" outlineLevel="0" collapsed="false">
      <c r="A111" s="4" t="s">
        <v>128</v>
      </c>
      <c r="B111" s="4" t="s">
        <v>20</v>
      </c>
      <c r="C111" s="4" t="s">
        <v>35</v>
      </c>
      <c r="D111" s="5" t="n">
        <v>46185.7298611111</v>
      </c>
      <c r="E111" s="5" t="n">
        <v>46186.9423611111</v>
      </c>
      <c r="F111" s="5" t="n">
        <v>46187.0840277778</v>
      </c>
      <c r="G111" s="5" t="n">
        <v>46187.4215277778</v>
      </c>
      <c r="H111" s="5" t="n">
        <v>46187.5798611111</v>
      </c>
      <c r="I111" s="4" t="n">
        <v>17</v>
      </c>
      <c r="J111" s="6" t="n">
        <v>29.1</v>
      </c>
      <c r="K111" s="6" t="n">
        <v>3.4</v>
      </c>
      <c r="L111" s="6" t="n">
        <v>8.1</v>
      </c>
      <c r="M111" s="6" t="n">
        <v>3.8</v>
      </c>
      <c r="N111" s="6" t="n">
        <v>44.4</v>
      </c>
    </row>
    <row r="112" customFormat="false" ht="15" hidden="false" customHeight="false" outlineLevel="0" collapsed="false">
      <c r="A112" s="4" t="s">
        <v>129</v>
      </c>
      <c r="B112" s="4" t="s">
        <v>20</v>
      </c>
      <c r="C112" s="4" t="s">
        <v>18</v>
      </c>
      <c r="D112" s="5" t="n">
        <v>46146.8631944444</v>
      </c>
      <c r="E112" s="5" t="n">
        <v>46147.9256944444</v>
      </c>
      <c r="F112" s="5" t="n">
        <v>46148.0381944445</v>
      </c>
      <c r="G112" s="5" t="n">
        <v>46148.5965277778</v>
      </c>
      <c r="H112" s="5" t="n">
        <v>46148.9673611111</v>
      </c>
      <c r="I112" s="4" t="n">
        <v>20</v>
      </c>
      <c r="J112" s="6" t="n">
        <v>25.5</v>
      </c>
      <c r="K112" s="6" t="n">
        <v>2.7</v>
      </c>
      <c r="L112" s="6" t="n">
        <v>13.4</v>
      </c>
      <c r="M112" s="6" t="n">
        <v>8.9</v>
      </c>
      <c r="N112" s="6" t="n">
        <v>50.5</v>
      </c>
    </row>
    <row r="113" customFormat="false" ht="15" hidden="false" customHeight="false" outlineLevel="0" collapsed="false">
      <c r="A113" s="4" t="s">
        <v>130</v>
      </c>
      <c r="B113" s="4" t="s">
        <v>20</v>
      </c>
      <c r="C113" s="4" t="s">
        <v>53</v>
      </c>
      <c r="D113" s="5" t="n">
        <v>46203.5375</v>
      </c>
      <c r="E113" s="5" t="n">
        <v>46203.8041666667</v>
      </c>
      <c r="F113" s="5" t="n">
        <v>46204.3041666667</v>
      </c>
      <c r="G113" s="5" t="n">
        <v>46204.8208333333</v>
      </c>
      <c r="H113" s="5" t="n">
        <v>46204.9333333333</v>
      </c>
      <c r="I113" s="4" t="n">
        <v>12</v>
      </c>
      <c r="J113" s="6" t="n">
        <v>6.4</v>
      </c>
      <c r="K113" s="6" t="n">
        <v>12</v>
      </c>
      <c r="L113" s="6" t="n">
        <v>12.4</v>
      </c>
      <c r="M113" s="6" t="n">
        <v>2.7</v>
      </c>
      <c r="N113" s="6" t="n">
        <v>33.5</v>
      </c>
    </row>
    <row r="114" customFormat="false" ht="15" hidden="false" customHeight="false" outlineLevel="0" collapsed="false">
      <c r="A114" s="4" t="s">
        <v>131</v>
      </c>
      <c r="B114" s="4" t="s">
        <v>20</v>
      </c>
      <c r="C114" s="4" t="s">
        <v>18</v>
      </c>
      <c r="D114" s="5" t="n">
        <v>46102.8875</v>
      </c>
      <c r="E114" s="5" t="n">
        <v>46103.7291666667</v>
      </c>
      <c r="F114" s="5" t="n">
        <v>46104.1583333333</v>
      </c>
      <c r="G114" s="5" t="n">
        <v>46104.4666666667</v>
      </c>
      <c r="H114" s="5" t="n">
        <v>46104.5541666667</v>
      </c>
      <c r="I114" s="4" t="n">
        <v>21</v>
      </c>
      <c r="J114" s="6" t="n">
        <v>20.2</v>
      </c>
      <c r="K114" s="6" t="n">
        <v>10.3</v>
      </c>
      <c r="L114" s="6" t="n">
        <v>7.4</v>
      </c>
      <c r="M114" s="6" t="n">
        <v>2.1</v>
      </c>
      <c r="N114" s="6" t="n">
        <v>40</v>
      </c>
    </row>
    <row r="115" customFormat="false" ht="15" hidden="false" customHeight="false" outlineLevel="0" collapsed="false">
      <c r="A115" s="4" t="s">
        <v>132</v>
      </c>
      <c r="B115" s="4" t="s">
        <v>24</v>
      </c>
      <c r="C115" s="4" t="s">
        <v>35</v>
      </c>
      <c r="D115" s="5" t="n">
        <v>46039.8659722222</v>
      </c>
      <c r="E115" s="5" t="n">
        <v>46040.9076388889</v>
      </c>
      <c r="F115" s="5" t="n">
        <v>46041.3659722222</v>
      </c>
      <c r="G115" s="5" t="n">
        <v>46041.6201388889</v>
      </c>
      <c r="H115" s="5" t="n">
        <v>46041.9368055556</v>
      </c>
      <c r="I115" s="4" t="n">
        <v>20</v>
      </c>
      <c r="J115" s="6" t="n">
        <v>25</v>
      </c>
      <c r="K115" s="6" t="n">
        <v>11</v>
      </c>
      <c r="L115" s="6" t="n">
        <v>6.1</v>
      </c>
      <c r="M115" s="6" t="n">
        <v>7.6</v>
      </c>
      <c r="N115" s="6" t="n">
        <v>49.7</v>
      </c>
    </row>
    <row r="116" customFormat="false" ht="15" hidden="false" customHeight="false" outlineLevel="0" collapsed="false">
      <c r="A116" s="4" t="s">
        <v>133</v>
      </c>
      <c r="B116" s="4" t="s">
        <v>17</v>
      </c>
      <c r="C116" s="4" t="s">
        <v>18</v>
      </c>
      <c r="D116" s="5" t="n">
        <v>46189.4694444445</v>
      </c>
      <c r="E116" s="5" t="n">
        <v>46189.8611111111</v>
      </c>
      <c r="F116" s="5" t="n">
        <v>46190.2444444444</v>
      </c>
      <c r="G116" s="5" t="n">
        <v>46190.6736111111</v>
      </c>
      <c r="H116" s="5" t="n">
        <v>46191.0027777778</v>
      </c>
      <c r="I116" s="4" t="n">
        <v>11</v>
      </c>
      <c r="J116" s="6" t="n">
        <v>9.4</v>
      </c>
      <c r="K116" s="6" t="n">
        <v>9.2</v>
      </c>
      <c r="L116" s="6" t="n">
        <v>10.3</v>
      </c>
      <c r="M116" s="6" t="n">
        <v>7.9</v>
      </c>
      <c r="N116" s="6" t="n">
        <v>36.8</v>
      </c>
    </row>
    <row r="117" customFormat="false" ht="15" hidden="false" customHeight="false" outlineLevel="0" collapsed="false">
      <c r="A117" s="4" t="s">
        <v>134</v>
      </c>
      <c r="B117" s="4" t="s">
        <v>17</v>
      </c>
      <c r="C117" s="4" t="s">
        <v>53</v>
      </c>
      <c r="D117" s="5" t="n">
        <v>46192.3680555556</v>
      </c>
      <c r="E117" s="5" t="n">
        <v>46192.5597222222</v>
      </c>
      <c r="F117" s="5" t="n">
        <v>46192.8847222222</v>
      </c>
      <c r="G117" s="5" t="n">
        <v>46193.3472222222</v>
      </c>
      <c r="H117" s="5" t="n">
        <v>46193.4555555556</v>
      </c>
      <c r="I117" s="4" t="n">
        <v>8</v>
      </c>
      <c r="J117" s="6" t="n">
        <v>4.6</v>
      </c>
      <c r="K117" s="6" t="n">
        <v>7.8</v>
      </c>
      <c r="L117" s="6" t="n">
        <v>11.1</v>
      </c>
      <c r="M117" s="6" t="n">
        <v>2.6</v>
      </c>
      <c r="N117" s="6" t="n">
        <v>26.1</v>
      </c>
    </row>
    <row r="118" customFormat="false" ht="15" hidden="false" customHeight="false" outlineLevel="0" collapsed="false">
      <c r="A118" s="4" t="s">
        <v>135</v>
      </c>
      <c r="B118" s="4" t="s">
        <v>20</v>
      </c>
      <c r="C118" s="4" t="s">
        <v>35</v>
      </c>
      <c r="D118" s="5" t="n">
        <v>46071.4930555556</v>
      </c>
      <c r="E118" s="5" t="n">
        <v>46071.8388888889</v>
      </c>
      <c r="F118" s="5" t="n">
        <v>46072.3263888889</v>
      </c>
      <c r="G118" s="5" t="n">
        <v>46072.6930555556</v>
      </c>
      <c r="H118" s="5" t="n">
        <v>46073.0430555556</v>
      </c>
      <c r="I118" s="4" t="n">
        <v>11</v>
      </c>
      <c r="J118" s="6" t="n">
        <v>8.3</v>
      </c>
      <c r="K118" s="6" t="n">
        <v>11.7</v>
      </c>
      <c r="L118" s="6" t="n">
        <v>8.8</v>
      </c>
      <c r="M118" s="6" t="n">
        <v>8.4</v>
      </c>
      <c r="N118" s="6" t="n">
        <v>37.2</v>
      </c>
    </row>
    <row r="119" customFormat="false" ht="15" hidden="false" customHeight="false" outlineLevel="0" collapsed="false">
      <c r="A119" s="4" t="s">
        <v>136</v>
      </c>
      <c r="B119" s="4" t="s">
        <v>24</v>
      </c>
      <c r="C119" s="4" t="s">
        <v>18</v>
      </c>
      <c r="D119" s="5" t="n">
        <v>46150.8875</v>
      </c>
      <c r="E119" s="5" t="n">
        <v>46152.0333333333</v>
      </c>
      <c r="F119" s="5" t="n">
        <v>46152.2583333333</v>
      </c>
      <c r="G119" s="5" t="n">
        <v>46152.4375</v>
      </c>
      <c r="H119" s="5" t="n">
        <v>46152.8</v>
      </c>
      <c r="I119" s="4" t="n">
        <v>21</v>
      </c>
      <c r="J119" s="6" t="n">
        <v>27.5</v>
      </c>
      <c r="K119" s="6" t="n">
        <v>5.4</v>
      </c>
      <c r="L119" s="6" t="n">
        <v>4.3</v>
      </c>
      <c r="M119" s="6" t="n">
        <v>8.7</v>
      </c>
      <c r="N119" s="6" t="n">
        <v>45.9</v>
      </c>
    </row>
    <row r="120" customFormat="false" ht="15" hidden="false" customHeight="false" outlineLevel="0" collapsed="false">
      <c r="A120" s="4" t="s">
        <v>137</v>
      </c>
      <c r="B120" s="4" t="s">
        <v>20</v>
      </c>
      <c r="C120" s="4" t="s">
        <v>53</v>
      </c>
      <c r="D120" s="5" t="n">
        <v>46200.7673611111</v>
      </c>
      <c r="E120" s="5" t="n">
        <v>46202.0048611111</v>
      </c>
      <c r="F120" s="5" t="n">
        <v>46202.4215277778</v>
      </c>
      <c r="G120" s="5" t="n">
        <v>46202.7131944444</v>
      </c>
      <c r="H120" s="5" t="n">
        <v>46203.0256944444</v>
      </c>
      <c r="I120" s="4" t="n">
        <v>18</v>
      </c>
      <c r="J120" s="6" t="n">
        <v>29.7</v>
      </c>
      <c r="K120" s="6" t="n">
        <v>10</v>
      </c>
      <c r="L120" s="6" t="n">
        <v>7</v>
      </c>
      <c r="M120" s="6" t="n">
        <v>7.5</v>
      </c>
      <c r="N120" s="6" t="n">
        <v>54.2</v>
      </c>
    </row>
    <row r="121" customFormat="false" ht="15" hidden="false" customHeight="false" outlineLevel="0" collapsed="false">
      <c r="A121" s="4" t="s">
        <v>138</v>
      </c>
      <c r="B121" s="4" t="s">
        <v>20</v>
      </c>
      <c r="C121" s="4" t="s">
        <v>18</v>
      </c>
      <c r="D121" s="5" t="n">
        <v>46143.5743055556</v>
      </c>
      <c r="E121" s="5" t="n">
        <v>46143.9659722222</v>
      </c>
      <c r="F121" s="5" t="n">
        <v>46144.2909722222</v>
      </c>
      <c r="G121" s="5" t="n">
        <v>46144.7909722222</v>
      </c>
      <c r="H121" s="5" t="n">
        <v>46145.1493055556</v>
      </c>
      <c r="I121" s="4" t="n">
        <v>13</v>
      </c>
      <c r="J121" s="6" t="n">
        <v>9.4</v>
      </c>
      <c r="K121" s="6" t="n">
        <v>7.8</v>
      </c>
      <c r="L121" s="6" t="n">
        <v>12</v>
      </c>
      <c r="M121" s="6" t="n">
        <v>8.6</v>
      </c>
      <c r="N121" s="6" t="n">
        <v>37.8</v>
      </c>
    </row>
    <row r="122" customFormat="false" ht="15" hidden="false" customHeight="false" outlineLevel="0" collapsed="false">
      <c r="A122" s="4" t="s">
        <v>139</v>
      </c>
      <c r="B122" s="4" t="s">
        <v>20</v>
      </c>
      <c r="C122" s="4" t="s">
        <v>18</v>
      </c>
      <c r="D122" s="5" t="n">
        <v>46033.6909722222</v>
      </c>
      <c r="E122" s="5" t="n">
        <v>46034.6618055556</v>
      </c>
      <c r="F122" s="5" t="n">
        <v>46034.9993055556</v>
      </c>
      <c r="G122" s="5" t="n">
        <v>46035.4201388889</v>
      </c>
      <c r="H122" s="5" t="n">
        <v>46035.6868055556</v>
      </c>
      <c r="I122" s="4" t="n">
        <v>16</v>
      </c>
      <c r="J122" s="6" t="n">
        <v>23.3</v>
      </c>
      <c r="K122" s="6" t="n">
        <v>8.1</v>
      </c>
      <c r="L122" s="6" t="n">
        <v>10.1</v>
      </c>
      <c r="M122" s="6" t="n">
        <v>6.4</v>
      </c>
      <c r="N122" s="6" t="n">
        <v>47.9</v>
      </c>
    </row>
    <row r="123" customFormat="false" ht="15" hidden="false" customHeight="false" outlineLevel="0" collapsed="false">
      <c r="A123" s="4" t="s">
        <v>140</v>
      </c>
      <c r="B123" s="4" t="s">
        <v>17</v>
      </c>
      <c r="C123" s="4" t="s">
        <v>35</v>
      </c>
      <c r="D123" s="5" t="n">
        <v>46193.5888888889</v>
      </c>
      <c r="E123" s="5" t="n">
        <v>46194.4430555556</v>
      </c>
      <c r="F123" s="5" t="n">
        <v>46194.5430555556</v>
      </c>
      <c r="G123" s="5" t="n">
        <v>46195.1263888889</v>
      </c>
      <c r="H123" s="5" t="n">
        <v>46195.2430555556</v>
      </c>
      <c r="I123" s="4" t="n">
        <v>14</v>
      </c>
      <c r="J123" s="6" t="n">
        <v>20.5</v>
      </c>
      <c r="K123" s="6" t="n">
        <v>2.4</v>
      </c>
      <c r="L123" s="6" t="n">
        <v>14</v>
      </c>
      <c r="M123" s="6" t="n">
        <v>2.8</v>
      </c>
      <c r="N123" s="6" t="n">
        <v>39.7</v>
      </c>
    </row>
    <row r="124" customFormat="false" ht="15" hidden="false" customHeight="false" outlineLevel="0" collapsed="false">
      <c r="A124" s="4" t="s">
        <v>141</v>
      </c>
      <c r="B124" s="4" t="s">
        <v>20</v>
      </c>
      <c r="C124" s="4" t="s">
        <v>18</v>
      </c>
      <c r="D124" s="5" t="n">
        <v>46126.6125</v>
      </c>
      <c r="E124" s="5" t="n">
        <v>46127.8416666667</v>
      </c>
      <c r="F124" s="5" t="n">
        <v>46128.2166666667</v>
      </c>
      <c r="G124" s="5" t="n">
        <v>46128.5875</v>
      </c>
      <c r="H124" s="5" t="n">
        <v>46128.8416666667</v>
      </c>
      <c r="I124" s="4" t="n">
        <v>14</v>
      </c>
      <c r="J124" s="6" t="n">
        <v>29.5</v>
      </c>
      <c r="K124" s="6" t="n">
        <v>9</v>
      </c>
      <c r="L124" s="6" t="n">
        <v>8.9</v>
      </c>
      <c r="M124" s="6" t="n">
        <v>6.1</v>
      </c>
      <c r="N124" s="6" t="n">
        <v>53.5</v>
      </c>
    </row>
    <row r="125" customFormat="false" ht="15" hidden="false" customHeight="false" outlineLevel="0" collapsed="false">
      <c r="A125" s="4" t="s">
        <v>142</v>
      </c>
      <c r="B125" s="4" t="s">
        <v>17</v>
      </c>
      <c r="C125" s="4" t="s">
        <v>35</v>
      </c>
      <c r="D125" s="5" t="n">
        <v>46194.3965277778</v>
      </c>
      <c r="E125" s="5" t="n">
        <v>46194.6340277778</v>
      </c>
      <c r="F125" s="5" t="n">
        <v>46195.1090277778</v>
      </c>
      <c r="G125" s="5" t="n">
        <v>46195.3631944444</v>
      </c>
      <c r="H125" s="5" t="n">
        <v>46195.6465277778</v>
      </c>
      <c r="I125" s="4" t="n">
        <v>9</v>
      </c>
      <c r="J125" s="6" t="n">
        <v>5.7</v>
      </c>
      <c r="K125" s="6" t="n">
        <v>11.4</v>
      </c>
      <c r="L125" s="6" t="n">
        <v>6.1</v>
      </c>
      <c r="M125" s="6" t="n">
        <v>6.8</v>
      </c>
      <c r="N125" s="6" t="n">
        <v>30</v>
      </c>
    </row>
    <row r="126" customFormat="false" ht="15" hidden="false" customHeight="false" outlineLevel="0" collapsed="false">
      <c r="A126" s="4" t="s">
        <v>143</v>
      </c>
      <c r="B126" s="4" t="s">
        <v>20</v>
      </c>
      <c r="C126" s="4" t="s">
        <v>18</v>
      </c>
      <c r="D126" s="5" t="n">
        <v>46087.7958333333</v>
      </c>
      <c r="E126" s="5" t="n">
        <v>46089.0375</v>
      </c>
      <c r="F126" s="5" t="n">
        <v>46089.275</v>
      </c>
      <c r="G126" s="5" t="n">
        <v>46089.8125</v>
      </c>
      <c r="H126" s="5" t="n">
        <v>46090.0833333333</v>
      </c>
      <c r="I126" s="4" t="n">
        <v>19</v>
      </c>
      <c r="J126" s="6" t="n">
        <v>29.8</v>
      </c>
      <c r="K126" s="6" t="n">
        <v>5.7</v>
      </c>
      <c r="L126" s="6" t="n">
        <v>12.9</v>
      </c>
      <c r="M126" s="6" t="n">
        <v>6.5</v>
      </c>
      <c r="N126" s="6" t="n">
        <v>54.9</v>
      </c>
    </row>
    <row r="127" customFormat="false" ht="15" hidden="false" customHeight="false" outlineLevel="0" collapsed="false">
      <c r="A127" s="4" t="s">
        <v>144</v>
      </c>
      <c r="B127" s="4" t="s">
        <v>20</v>
      </c>
      <c r="C127" s="4" t="s">
        <v>18</v>
      </c>
      <c r="D127" s="5" t="n">
        <v>46058.8694444444</v>
      </c>
      <c r="E127" s="5" t="n">
        <v>46059.8902777778</v>
      </c>
      <c r="F127" s="5" t="n">
        <v>46060.2486111111</v>
      </c>
      <c r="G127" s="5" t="n">
        <v>46060.6694444444</v>
      </c>
      <c r="H127" s="5" t="n">
        <v>46060.9277777778</v>
      </c>
      <c r="I127" s="4" t="n">
        <v>20</v>
      </c>
      <c r="J127" s="6" t="n">
        <v>24.5</v>
      </c>
      <c r="K127" s="6" t="n">
        <v>8.6</v>
      </c>
      <c r="L127" s="6" t="n">
        <v>10.1</v>
      </c>
      <c r="M127" s="6" t="n">
        <v>6.2</v>
      </c>
      <c r="N127" s="6" t="n">
        <v>49.4</v>
      </c>
    </row>
    <row r="128" customFormat="false" ht="15" hidden="false" customHeight="false" outlineLevel="0" collapsed="false">
      <c r="A128" s="4" t="s">
        <v>145</v>
      </c>
      <c r="B128" s="4" t="s">
        <v>20</v>
      </c>
      <c r="C128" s="4" t="s">
        <v>35</v>
      </c>
      <c r="D128" s="5" t="n">
        <v>46089.9097222222</v>
      </c>
      <c r="E128" s="5" t="n">
        <v>46090.9763888889</v>
      </c>
      <c r="F128" s="5" t="n">
        <v>46091.0888888889</v>
      </c>
      <c r="G128" s="5" t="n">
        <v>46091.5638888889</v>
      </c>
      <c r="H128" s="5" t="n">
        <v>46091.7097222222</v>
      </c>
      <c r="I128" s="4" t="n">
        <v>21</v>
      </c>
      <c r="J128" s="6" t="n">
        <v>25.6</v>
      </c>
      <c r="K128" s="6" t="n">
        <v>2.7</v>
      </c>
      <c r="L128" s="6" t="n">
        <v>11.4</v>
      </c>
      <c r="M128" s="6" t="n">
        <v>3.5</v>
      </c>
      <c r="N128" s="6" t="n">
        <v>43.2</v>
      </c>
    </row>
    <row r="129" customFormat="false" ht="15" hidden="false" customHeight="false" outlineLevel="0" collapsed="false">
      <c r="A129" s="4" t="s">
        <v>146</v>
      </c>
      <c r="B129" s="4" t="s">
        <v>20</v>
      </c>
      <c r="C129" s="4" t="s">
        <v>35</v>
      </c>
      <c r="D129" s="5" t="n">
        <v>46111.7847222222</v>
      </c>
      <c r="E129" s="5" t="n">
        <v>46112.9930555556</v>
      </c>
      <c r="F129" s="5" t="n">
        <v>46113.0763888889</v>
      </c>
      <c r="G129" s="5" t="n">
        <v>46113.5930555556</v>
      </c>
      <c r="H129" s="5" t="n">
        <v>46113.7180555556</v>
      </c>
      <c r="I129" s="4" t="n">
        <v>18</v>
      </c>
      <c r="J129" s="6" t="n">
        <v>29</v>
      </c>
      <c r="K129" s="6" t="n">
        <v>2</v>
      </c>
      <c r="L129" s="6" t="n">
        <v>12.4</v>
      </c>
      <c r="M129" s="6" t="n">
        <v>3</v>
      </c>
      <c r="N129" s="6" t="n">
        <v>46.4</v>
      </c>
    </row>
    <row r="130" customFormat="false" ht="15" hidden="false" customHeight="false" outlineLevel="0" collapsed="false">
      <c r="A130" s="4" t="s">
        <v>147</v>
      </c>
      <c r="B130" s="4" t="s">
        <v>20</v>
      </c>
      <c r="C130" s="4" t="s">
        <v>18</v>
      </c>
      <c r="D130" s="5" t="n">
        <v>46071.4131944445</v>
      </c>
      <c r="E130" s="5" t="n">
        <v>46071.5048611111</v>
      </c>
      <c r="F130" s="5" t="n">
        <v>46071.5923611111</v>
      </c>
      <c r="G130" s="5" t="n">
        <v>46072.0798611111</v>
      </c>
      <c r="H130" s="5" t="n">
        <v>46072.2340277778</v>
      </c>
      <c r="I130" s="4" t="n">
        <v>9</v>
      </c>
      <c r="J130" s="6" t="n">
        <v>2.2</v>
      </c>
      <c r="K130" s="6" t="n">
        <v>2.1</v>
      </c>
      <c r="L130" s="6" t="n">
        <v>11.7</v>
      </c>
      <c r="M130" s="6" t="n">
        <v>3.7</v>
      </c>
      <c r="N130" s="6" t="n">
        <v>19.7</v>
      </c>
    </row>
    <row r="131" customFormat="false" ht="15" hidden="false" customHeight="false" outlineLevel="0" collapsed="false">
      <c r="A131" s="4" t="s">
        <v>148</v>
      </c>
      <c r="B131" s="4" t="s">
        <v>20</v>
      </c>
      <c r="C131" s="4" t="s">
        <v>18</v>
      </c>
      <c r="D131" s="5" t="n">
        <v>46040.4347222222</v>
      </c>
      <c r="E131" s="5" t="n">
        <v>46040.7763888889</v>
      </c>
      <c r="F131" s="5" t="n">
        <v>46041.1722222222</v>
      </c>
      <c r="G131" s="5" t="n">
        <v>46041.5138888889</v>
      </c>
      <c r="H131" s="5" t="n">
        <v>46041.8222222222</v>
      </c>
      <c r="I131" s="4" t="n">
        <v>10</v>
      </c>
      <c r="J131" s="6" t="n">
        <v>8.2</v>
      </c>
      <c r="K131" s="6" t="n">
        <v>9.5</v>
      </c>
      <c r="L131" s="6" t="n">
        <v>8.2</v>
      </c>
      <c r="M131" s="6" t="n">
        <v>7.4</v>
      </c>
      <c r="N131" s="6" t="n">
        <v>33.3</v>
      </c>
    </row>
    <row r="132" customFormat="false" ht="15" hidden="false" customHeight="false" outlineLevel="0" collapsed="false">
      <c r="A132" s="4" t="s">
        <v>149</v>
      </c>
      <c r="B132" s="4" t="s">
        <v>17</v>
      </c>
      <c r="C132" s="4" t="s">
        <v>18</v>
      </c>
      <c r="D132" s="5" t="n">
        <v>46155.4854166667</v>
      </c>
      <c r="E132" s="5" t="n">
        <v>46155.6645833333</v>
      </c>
      <c r="F132" s="5" t="n">
        <v>46156.0729166667</v>
      </c>
      <c r="G132" s="5" t="n">
        <v>46156.59375</v>
      </c>
      <c r="H132" s="5" t="n">
        <v>46156.83125</v>
      </c>
      <c r="I132" s="4" t="n">
        <v>11</v>
      </c>
      <c r="J132" s="6" t="n">
        <v>4.3</v>
      </c>
      <c r="K132" s="6" t="n">
        <v>9.8</v>
      </c>
      <c r="L132" s="6" t="n">
        <v>12.5</v>
      </c>
      <c r="M132" s="6" t="n">
        <v>5.7</v>
      </c>
      <c r="N132" s="6" t="n">
        <v>32.3</v>
      </c>
    </row>
    <row r="133" customFormat="false" ht="15" hidden="false" customHeight="false" outlineLevel="0" collapsed="false">
      <c r="A133" s="4" t="s">
        <v>150</v>
      </c>
      <c r="B133" s="4" t="s">
        <v>17</v>
      </c>
      <c r="C133" s="4" t="s">
        <v>53</v>
      </c>
      <c r="D133" s="5" t="n">
        <v>46042.9125</v>
      </c>
      <c r="E133" s="5" t="n">
        <v>46043.9125</v>
      </c>
      <c r="F133" s="5" t="n">
        <v>46044.2833333333</v>
      </c>
      <c r="G133" s="5" t="n">
        <v>46044.6333333333</v>
      </c>
      <c r="H133" s="5" t="n">
        <v>46044.9833333333</v>
      </c>
      <c r="I133" s="4" t="n">
        <v>21</v>
      </c>
      <c r="J133" s="6" t="n">
        <v>24</v>
      </c>
      <c r="K133" s="6" t="n">
        <v>8.9</v>
      </c>
      <c r="L133" s="6" t="n">
        <v>8.4</v>
      </c>
      <c r="M133" s="6" t="n">
        <v>8.4</v>
      </c>
      <c r="N133" s="6" t="n">
        <v>49.7</v>
      </c>
    </row>
    <row r="134" customFormat="false" ht="15" hidden="false" customHeight="false" outlineLevel="0" collapsed="false">
      <c r="A134" s="4" t="s">
        <v>151</v>
      </c>
      <c r="B134" s="4" t="s">
        <v>20</v>
      </c>
      <c r="C134" s="4" t="s">
        <v>18</v>
      </c>
      <c r="D134" s="5" t="n">
        <v>46182.4222222222</v>
      </c>
      <c r="E134" s="5" t="n">
        <v>46182.6805555556</v>
      </c>
      <c r="F134" s="5" t="n">
        <v>46183.0263888889</v>
      </c>
      <c r="G134" s="5" t="n">
        <v>46183.4013888889</v>
      </c>
      <c r="H134" s="5" t="n">
        <v>46183.5805555556</v>
      </c>
      <c r="I134" s="4" t="n">
        <v>10</v>
      </c>
      <c r="J134" s="6" t="n">
        <v>6.2</v>
      </c>
      <c r="K134" s="6" t="n">
        <v>8.3</v>
      </c>
      <c r="L134" s="6" t="n">
        <v>9</v>
      </c>
      <c r="M134" s="6" t="n">
        <v>4.3</v>
      </c>
      <c r="N134" s="6" t="n">
        <v>27.8</v>
      </c>
    </row>
    <row r="135" customFormat="false" ht="15" hidden="false" customHeight="false" outlineLevel="0" collapsed="false">
      <c r="A135" s="4" t="s">
        <v>152</v>
      </c>
      <c r="B135" s="4" t="s">
        <v>24</v>
      </c>
      <c r="C135" s="4" t="s">
        <v>18</v>
      </c>
      <c r="D135" s="5" t="n">
        <v>46143.64375</v>
      </c>
      <c r="E135" s="5" t="n">
        <v>46144.51875</v>
      </c>
      <c r="F135" s="5" t="n">
        <v>46144.89375</v>
      </c>
      <c r="G135" s="5" t="n">
        <v>46145.4104166667</v>
      </c>
      <c r="H135" s="5" t="n">
        <v>46145.6854166667</v>
      </c>
      <c r="I135" s="4" t="n">
        <v>15</v>
      </c>
      <c r="J135" s="6" t="n">
        <v>21</v>
      </c>
      <c r="K135" s="6" t="n">
        <v>9</v>
      </c>
      <c r="L135" s="6" t="n">
        <v>12.4</v>
      </c>
      <c r="M135" s="6" t="n">
        <v>6.6</v>
      </c>
      <c r="N135" s="6" t="n">
        <v>49</v>
      </c>
    </row>
    <row r="136" customFormat="false" ht="15" hidden="false" customHeight="false" outlineLevel="0" collapsed="false">
      <c r="A136" s="4" t="s">
        <v>153</v>
      </c>
      <c r="B136" s="4" t="s">
        <v>24</v>
      </c>
      <c r="C136" s="4" t="s">
        <v>35</v>
      </c>
      <c r="D136" s="5" t="n">
        <v>46082.6222222222</v>
      </c>
      <c r="E136" s="5" t="n">
        <v>46083.5513888889</v>
      </c>
      <c r="F136" s="5" t="n">
        <v>46083.7763888889</v>
      </c>
      <c r="G136" s="5" t="n">
        <v>46084.1097222222</v>
      </c>
      <c r="H136" s="5" t="n">
        <v>46084.3138888889</v>
      </c>
      <c r="I136" s="4" t="n">
        <v>14</v>
      </c>
      <c r="J136" s="6" t="n">
        <v>22.3</v>
      </c>
      <c r="K136" s="6" t="n">
        <v>5.4</v>
      </c>
      <c r="L136" s="6" t="n">
        <v>8</v>
      </c>
      <c r="M136" s="6" t="n">
        <v>4.9</v>
      </c>
      <c r="N136" s="6" t="n">
        <v>40.6</v>
      </c>
    </row>
    <row r="137" customFormat="false" ht="15" hidden="false" customHeight="false" outlineLevel="0" collapsed="false">
      <c r="A137" s="4" t="s">
        <v>154</v>
      </c>
      <c r="B137" s="4" t="s">
        <v>20</v>
      </c>
      <c r="C137" s="4" t="s">
        <v>18</v>
      </c>
      <c r="D137" s="5" t="n">
        <v>46197.50625</v>
      </c>
      <c r="E137" s="5" t="n">
        <v>46197.9020833333</v>
      </c>
      <c r="F137" s="5" t="n">
        <v>46198.18125</v>
      </c>
      <c r="G137" s="5" t="n">
        <v>46198.3479166667</v>
      </c>
      <c r="H137" s="5" t="n">
        <v>46198.45625</v>
      </c>
      <c r="I137" s="4" t="n">
        <v>12</v>
      </c>
      <c r="J137" s="6" t="n">
        <v>9.5</v>
      </c>
      <c r="K137" s="6" t="n">
        <v>6.7</v>
      </c>
      <c r="L137" s="6" t="n">
        <v>4</v>
      </c>
      <c r="M137" s="6" t="n">
        <v>2.6</v>
      </c>
      <c r="N137" s="6" t="n">
        <v>22.8</v>
      </c>
    </row>
    <row r="138" customFormat="false" ht="15" hidden="false" customHeight="false" outlineLevel="0" collapsed="false">
      <c r="A138" s="4" t="s">
        <v>155</v>
      </c>
      <c r="B138" s="4" t="s">
        <v>20</v>
      </c>
      <c r="C138" s="4" t="s">
        <v>35</v>
      </c>
      <c r="D138" s="5" t="n">
        <v>46122.8159722222</v>
      </c>
      <c r="E138" s="5" t="n">
        <v>46123.6743055556</v>
      </c>
      <c r="F138" s="5" t="n">
        <v>46124.1576388889</v>
      </c>
      <c r="G138" s="5" t="n">
        <v>46124.5409722222</v>
      </c>
      <c r="H138" s="5" t="n">
        <v>46124.8201388889</v>
      </c>
      <c r="I138" s="4" t="n">
        <v>19</v>
      </c>
      <c r="J138" s="6" t="n">
        <v>20.6</v>
      </c>
      <c r="K138" s="6" t="n">
        <v>11.6</v>
      </c>
      <c r="L138" s="6" t="n">
        <v>9.2</v>
      </c>
      <c r="M138" s="6" t="n">
        <v>6.7</v>
      </c>
      <c r="N138" s="6" t="n">
        <v>48.1</v>
      </c>
    </row>
    <row r="139" customFormat="false" ht="15" hidden="false" customHeight="false" outlineLevel="0" collapsed="false">
      <c r="A139" s="4" t="s">
        <v>156</v>
      </c>
      <c r="B139" s="4" t="s">
        <v>20</v>
      </c>
      <c r="C139" s="4" t="s">
        <v>35</v>
      </c>
      <c r="D139" s="5" t="n">
        <v>46135.8236111111</v>
      </c>
      <c r="E139" s="5" t="n">
        <v>46136.6777777778</v>
      </c>
      <c r="F139" s="5" t="n">
        <v>46136.8819444445</v>
      </c>
      <c r="G139" s="5" t="n">
        <v>46137.1486111111</v>
      </c>
      <c r="H139" s="5" t="n">
        <v>46137.2611111111</v>
      </c>
      <c r="I139" s="4" t="n">
        <v>19</v>
      </c>
      <c r="J139" s="6" t="n">
        <v>20.5</v>
      </c>
      <c r="K139" s="6" t="n">
        <v>4.9</v>
      </c>
      <c r="L139" s="6" t="n">
        <v>6.4</v>
      </c>
      <c r="M139" s="6" t="n">
        <v>2.7</v>
      </c>
      <c r="N139" s="6" t="n">
        <v>34.5</v>
      </c>
    </row>
    <row r="140" customFormat="false" ht="15" hidden="false" customHeight="false" outlineLevel="0" collapsed="false">
      <c r="A140" s="4" t="s">
        <v>157</v>
      </c>
      <c r="B140" s="4" t="s">
        <v>17</v>
      </c>
      <c r="C140" s="4" t="s">
        <v>18</v>
      </c>
      <c r="D140" s="5" t="n">
        <v>46150.4625</v>
      </c>
      <c r="E140" s="5" t="n">
        <v>46150.7458333333</v>
      </c>
      <c r="F140" s="5" t="n">
        <v>46151.0625</v>
      </c>
      <c r="G140" s="5" t="n">
        <v>46151.2416666667</v>
      </c>
      <c r="H140" s="5" t="n">
        <v>46151.4041666667</v>
      </c>
      <c r="I140" s="4" t="n">
        <v>11</v>
      </c>
      <c r="J140" s="6" t="n">
        <v>6.8</v>
      </c>
      <c r="K140" s="6" t="n">
        <v>7.6</v>
      </c>
      <c r="L140" s="6" t="n">
        <v>4.3</v>
      </c>
      <c r="M140" s="6" t="n">
        <v>3.9</v>
      </c>
      <c r="N140" s="6" t="n">
        <v>22.6</v>
      </c>
    </row>
    <row r="141" customFormat="false" ht="15" hidden="false" customHeight="false" outlineLevel="0" collapsed="false">
      <c r="A141" s="4" t="s">
        <v>158</v>
      </c>
      <c r="B141" s="4" t="s">
        <v>20</v>
      </c>
      <c r="C141" s="4" t="s">
        <v>18</v>
      </c>
      <c r="D141" s="5" t="n">
        <v>46170.9111111111</v>
      </c>
      <c r="E141" s="5" t="n">
        <v>46172.0027777778</v>
      </c>
      <c r="F141" s="5" t="n">
        <v>46172.3652777778</v>
      </c>
      <c r="G141" s="5" t="n">
        <v>46172.7444444444</v>
      </c>
      <c r="H141" s="5" t="n">
        <v>46173.0069444445</v>
      </c>
      <c r="I141" s="4" t="n">
        <v>21</v>
      </c>
      <c r="J141" s="6" t="n">
        <v>26.2</v>
      </c>
      <c r="K141" s="6" t="n">
        <v>8.7</v>
      </c>
      <c r="L141" s="6" t="n">
        <v>9.1</v>
      </c>
      <c r="M141" s="6" t="n">
        <v>6.3</v>
      </c>
      <c r="N141" s="6" t="n">
        <v>50.3</v>
      </c>
    </row>
    <row r="142" customFormat="false" ht="15" hidden="false" customHeight="false" outlineLevel="0" collapsed="false">
      <c r="A142" s="4" t="s">
        <v>159</v>
      </c>
      <c r="B142" s="4" t="s">
        <v>17</v>
      </c>
      <c r="C142" s="4" t="s">
        <v>18</v>
      </c>
      <c r="D142" s="5" t="n">
        <v>46034.4888888889</v>
      </c>
      <c r="E142" s="5" t="n">
        <v>46034.9097222222</v>
      </c>
      <c r="F142" s="5" t="n">
        <v>46035.3763888889</v>
      </c>
      <c r="G142" s="5" t="n">
        <v>46035.6638888889</v>
      </c>
      <c r="H142" s="5" t="n">
        <v>46035.8013888889</v>
      </c>
      <c r="I142" s="4" t="n">
        <v>11</v>
      </c>
      <c r="J142" s="6" t="n">
        <v>10.1</v>
      </c>
      <c r="K142" s="6" t="n">
        <v>11.2</v>
      </c>
      <c r="L142" s="6" t="n">
        <v>6.9</v>
      </c>
      <c r="M142" s="6" t="n">
        <v>3.3</v>
      </c>
      <c r="N142" s="6" t="n">
        <v>31.5</v>
      </c>
    </row>
    <row r="143" customFormat="false" ht="15" hidden="false" customHeight="false" outlineLevel="0" collapsed="false">
      <c r="A143" s="4" t="s">
        <v>160</v>
      </c>
      <c r="B143" s="4" t="s">
        <v>20</v>
      </c>
      <c r="C143" s="4" t="s">
        <v>18</v>
      </c>
      <c r="D143" s="5" t="n">
        <v>46044.4444444445</v>
      </c>
      <c r="E143" s="5" t="n">
        <v>46044.9361111111</v>
      </c>
      <c r="F143" s="5" t="n">
        <v>46045.0569444444</v>
      </c>
      <c r="G143" s="5" t="n">
        <v>46045.4236111111</v>
      </c>
      <c r="H143" s="5" t="n">
        <v>46045.6152777778</v>
      </c>
      <c r="I143" s="4" t="n">
        <v>10</v>
      </c>
      <c r="J143" s="6" t="n">
        <v>11.8</v>
      </c>
      <c r="K143" s="6" t="n">
        <v>2.9</v>
      </c>
      <c r="L143" s="6" t="n">
        <v>8.8</v>
      </c>
      <c r="M143" s="6" t="n">
        <v>4.6</v>
      </c>
      <c r="N143" s="6" t="n">
        <v>28.1</v>
      </c>
    </row>
    <row r="144" customFormat="false" ht="15" hidden="false" customHeight="false" outlineLevel="0" collapsed="false">
      <c r="A144" s="4" t="s">
        <v>161</v>
      </c>
      <c r="B144" s="4" t="s">
        <v>17</v>
      </c>
      <c r="C144" s="4" t="s">
        <v>18</v>
      </c>
      <c r="D144" s="5" t="n">
        <v>46106.7840277778</v>
      </c>
      <c r="E144" s="5" t="n">
        <v>46108.0090277778</v>
      </c>
      <c r="F144" s="5" t="n">
        <v>46108.3423611111</v>
      </c>
      <c r="G144" s="5" t="n">
        <v>46108.8715277778</v>
      </c>
      <c r="H144" s="5" t="n">
        <v>46109.0006944445</v>
      </c>
      <c r="I144" s="4" t="n">
        <v>18</v>
      </c>
      <c r="J144" s="6" t="n">
        <v>29.4</v>
      </c>
      <c r="K144" s="6" t="n">
        <v>8</v>
      </c>
      <c r="L144" s="6" t="n">
        <v>12.7</v>
      </c>
      <c r="M144" s="6" t="n">
        <v>3.1</v>
      </c>
      <c r="N144" s="6" t="n">
        <v>53.2</v>
      </c>
    </row>
    <row r="145" customFormat="false" ht="15" hidden="false" customHeight="false" outlineLevel="0" collapsed="false">
      <c r="A145" s="4" t="s">
        <v>162</v>
      </c>
      <c r="B145" s="4" t="s">
        <v>24</v>
      </c>
      <c r="C145" s="4" t="s">
        <v>18</v>
      </c>
      <c r="D145" s="5" t="n">
        <v>46047.5291666667</v>
      </c>
      <c r="E145" s="5" t="n">
        <v>46047.8375</v>
      </c>
      <c r="F145" s="5" t="n">
        <v>46048.175</v>
      </c>
      <c r="G145" s="5" t="n">
        <v>46048.4916666667</v>
      </c>
      <c r="H145" s="5" t="n">
        <v>46048.6375</v>
      </c>
      <c r="I145" s="4" t="n">
        <v>12</v>
      </c>
      <c r="J145" s="6" t="n">
        <v>7.4</v>
      </c>
      <c r="K145" s="6" t="n">
        <v>8.1</v>
      </c>
      <c r="L145" s="6" t="n">
        <v>7.6</v>
      </c>
      <c r="M145" s="6" t="n">
        <v>3.5</v>
      </c>
      <c r="N145" s="6" t="n">
        <v>26.6</v>
      </c>
    </row>
    <row r="146" customFormat="false" ht="15" hidden="false" customHeight="false" outlineLevel="0" collapsed="false">
      <c r="A146" s="4" t="s">
        <v>163</v>
      </c>
      <c r="B146" s="4" t="s">
        <v>17</v>
      </c>
      <c r="C146" s="4" t="s">
        <v>18</v>
      </c>
      <c r="D146" s="5" t="n">
        <v>46055.5298611111</v>
      </c>
      <c r="E146" s="5" t="n">
        <v>46055.8923611111</v>
      </c>
      <c r="F146" s="5" t="n">
        <v>46056.1965277778</v>
      </c>
      <c r="G146" s="5" t="n">
        <v>46056.4631944444</v>
      </c>
      <c r="H146" s="5" t="n">
        <v>46056.6090277778</v>
      </c>
      <c r="I146" s="4" t="n">
        <v>12</v>
      </c>
      <c r="J146" s="6" t="n">
        <v>8.7</v>
      </c>
      <c r="K146" s="6" t="n">
        <v>7.3</v>
      </c>
      <c r="L146" s="6" t="n">
        <v>6.4</v>
      </c>
      <c r="M146" s="6" t="n">
        <v>3.5</v>
      </c>
      <c r="N146" s="6" t="n">
        <v>25.9</v>
      </c>
    </row>
    <row r="147" customFormat="false" ht="15" hidden="false" customHeight="false" outlineLevel="0" collapsed="false">
      <c r="A147" s="4" t="s">
        <v>164</v>
      </c>
      <c r="B147" s="4" t="s">
        <v>24</v>
      </c>
      <c r="C147" s="4" t="s">
        <v>18</v>
      </c>
      <c r="D147" s="5" t="n">
        <v>46079.5090277778</v>
      </c>
      <c r="E147" s="5" t="n">
        <v>46079.9298611111</v>
      </c>
      <c r="F147" s="5" t="n">
        <v>46080.3298611111</v>
      </c>
      <c r="G147" s="5" t="n">
        <v>46080.5881944444</v>
      </c>
      <c r="H147" s="5" t="n">
        <v>46080.7048611111</v>
      </c>
      <c r="I147" s="4" t="n">
        <v>12</v>
      </c>
      <c r="J147" s="6" t="n">
        <v>10.1</v>
      </c>
      <c r="K147" s="6" t="n">
        <v>9.6</v>
      </c>
      <c r="L147" s="6" t="n">
        <v>6.2</v>
      </c>
      <c r="M147" s="6" t="n">
        <v>2.8</v>
      </c>
      <c r="N147" s="6" t="n">
        <v>28.7</v>
      </c>
    </row>
    <row r="148" customFormat="false" ht="15" hidden="false" customHeight="false" outlineLevel="0" collapsed="false">
      <c r="A148" s="4" t="s">
        <v>165</v>
      </c>
      <c r="B148" s="4" t="s">
        <v>17</v>
      </c>
      <c r="C148" s="4" t="s">
        <v>18</v>
      </c>
      <c r="D148" s="5" t="n">
        <v>46060.5729166667</v>
      </c>
      <c r="E148" s="5" t="n">
        <v>46060.8145833333</v>
      </c>
      <c r="F148" s="5" t="n">
        <v>46061.13125</v>
      </c>
      <c r="G148" s="5" t="n">
        <v>46061.5604166667</v>
      </c>
      <c r="H148" s="5" t="n">
        <v>46061.7479166667</v>
      </c>
      <c r="I148" s="4" t="n">
        <v>13</v>
      </c>
      <c r="J148" s="6" t="n">
        <v>5.8</v>
      </c>
      <c r="K148" s="6" t="n">
        <v>7.6</v>
      </c>
      <c r="L148" s="6" t="n">
        <v>10.3</v>
      </c>
      <c r="M148" s="6" t="n">
        <v>4.5</v>
      </c>
      <c r="N148" s="6" t="n">
        <v>28.2</v>
      </c>
    </row>
    <row r="149" customFormat="false" ht="15" hidden="false" customHeight="false" outlineLevel="0" collapsed="false">
      <c r="A149" s="4" t="s">
        <v>166</v>
      </c>
      <c r="B149" s="4" t="s">
        <v>20</v>
      </c>
      <c r="C149" s="4" t="s">
        <v>35</v>
      </c>
      <c r="D149" s="5" t="n">
        <v>46138.3319444444</v>
      </c>
      <c r="E149" s="5" t="n">
        <v>46138.4361111111</v>
      </c>
      <c r="F149" s="5" t="n">
        <v>46138.6486111111</v>
      </c>
      <c r="G149" s="5" t="n">
        <v>46138.9694444445</v>
      </c>
      <c r="H149" s="5" t="n">
        <v>46139.1694444444</v>
      </c>
      <c r="I149" s="4" t="n">
        <v>7</v>
      </c>
      <c r="J149" s="6" t="n">
        <v>2.5</v>
      </c>
      <c r="K149" s="6" t="n">
        <v>5.1</v>
      </c>
      <c r="L149" s="6" t="n">
        <v>7.7</v>
      </c>
      <c r="M149" s="6" t="n">
        <v>4.8</v>
      </c>
      <c r="N149" s="6" t="n">
        <v>20.1</v>
      </c>
    </row>
    <row r="150" customFormat="false" ht="15" hidden="false" customHeight="false" outlineLevel="0" collapsed="false">
      <c r="A150" s="4" t="s">
        <v>167</v>
      </c>
      <c r="B150" s="4" t="s">
        <v>17</v>
      </c>
      <c r="C150" s="4" t="s">
        <v>18</v>
      </c>
      <c r="D150" s="5" t="n">
        <v>46130.3055555556</v>
      </c>
      <c r="E150" s="5" t="n">
        <v>46130.4305555556</v>
      </c>
      <c r="F150" s="5" t="n">
        <v>46130.9097222222</v>
      </c>
      <c r="G150" s="5" t="n">
        <v>46131.2472222222</v>
      </c>
      <c r="H150" s="5" t="n">
        <v>46131.5305555556</v>
      </c>
      <c r="I150" s="4" t="n">
        <v>7</v>
      </c>
      <c r="J150" s="6" t="n">
        <v>3</v>
      </c>
      <c r="K150" s="6" t="n">
        <v>11.5</v>
      </c>
      <c r="L150" s="6" t="n">
        <v>8.1</v>
      </c>
      <c r="M150" s="6" t="n">
        <v>6.8</v>
      </c>
      <c r="N150" s="6" t="n">
        <v>29.4</v>
      </c>
    </row>
    <row r="151" customFormat="false" ht="15" hidden="false" customHeight="false" outlineLevel="0" collapsed="false">
      <c r="A151" s="4" t="s">
        <v>168</v>
      </c>
      <c r="B151" s="4" t="s">
        <v>20</v>
      </c>
      <c r="C151" s="4" t="s">
        <v>18</v>
      </c>
      <c r="D151" s="5" t="n">
        <v>46054.5256944444</v>
      </c>
      <c r="E151" s="5" t="n">
        <v>46054.8256944444</v>
      </c>
      <c r="F151" s="5" t="n">
        <v>46054.9423611111</v>
      </c>
      <c r="G151" s="5" t="n">
        <v>46055.4673611111</v>
      </c>
      <c r="H151" s="5" t="n">
        <v>46055.7673611111</v>
      </c>
      <c r="I151" s="4" t="n">
        <v>12</v>
      </c>
      <c r="J151" s="6" t="n">
        <v>7.2</v>
      </c>
      <c r="K151" s="6" t="n">
        <v>2.8</v>
      </c>
      <c r="L151" s="6" t="n">
        <v>12.6</v>
      </c>
      <c r="M151" s="6" t="n">
        <v>7.2</v>
      </c>
      <c r="N151" s="6" t="n">
        <v>29.8</v>
      </c>
    </row>
    <row r="152" customFormat="false" ht="15" hidden="false" customHeight="false" outlineLevel="0" collapsed="false">
      <c r="A152" s="4" t="s">
        <v>169</v>
      </c>
      <c r="B152" s="4" t="s">
        <v>20</v>
      </c>
      <c r="C152" s="4" t="s">
        <v>35</v>
      </c>
      <c r="D152" s="5" t="n">
        <v>46046.6298611111</v>
      </c>
      <c r="E152" s="5" t="n">
        <v>46047.6840277778</v>
      </c>
      <c r="F152" s="5" t="n">
        <v>46047.8465277778</v>
      </c>
      <c r="G152" s="5" t="n">
        <v>46048.3256944444</v>
      </c>
      <c r="H152" s="5" t="n">
        <v>46048.5131944444</v>
      </c>
      <c r="I152" s="4" t="n">
        <v>15</v>
      </c>
      <c r="J152" s="6" t="n">
        <v>25.3</v>
      </c>
      <c r="K152" s="6" t="n">
        <v>3.9</v>
      </c>
      <c r="L152" s="6" t="n">
        <v>11.5</v>
      </c>
      <c r="M152" s="6" t="n">
        <v>4.5</v>
      </c>
      <c r="N152" s="6" t="n">
        <v>45.2</v>
      </c>
    </row>
    <row r="153" customFormat="false" ht="15" hidden="false" customHeight="false" outlineLevel="0" collapsed="false">
      <c r="A153" s="4" t="s">
        <v>170</v>
      </c>
      <c r="B153" s="4" t="s">
        <v>24</v>
      </c>
      <c r="C153" s="4" t="s">
        <v>18</v>
      </c>
      <c r="D153" s="5" t="n">
        <v>46064.50625</v>
      </c>
      <c r="E153" s="5" t="n">
        <v>46064.75625</v>
      </c>
      <c r="F153" s="5" t="n">
        <v>46064.9104166667</v>
      </c>
      <c r="G153" s="5" t="n">
        <v>46065.10625</v>
      </c>
      <c r="H153" s="5" t="n">
        <v>46065.4104166667</v>
      </c>
      <c r="I153" s="4" t="n">
        <v>12</v>
      </c>
      <c r="J153" s="6" t="n">
        <v>6</v>
      </c>
      <c r="K153" s="6" t="n">
        <v>3.7</v>
      </c>
      <c r="L153" s="6" t="n">
        <v>4.7</v>
      </c>
      <c r="M153" s="6" t="n">
        <v>7.3</v>
      </c>
      <c r="N153" s="6" t="n">
        <v>21.7</v>
      </c>
    </row>
    <row r="154" customFormat="false" ht="15" hidden="false" customHeight="false" outlineLevel="0" collapsed="false">
      <c r="A154" s="4" t="s">
        <v>171</v>
      </c>
      <c r="B154" s="4" t="s">
        <v>20</v>
      </c>
      <c r="C154" s="4" t="s">
        <v>53</v>
      </c>
      <c r="D154" s="5" t="n">
        <v>46187.6583333333</v>
      </c>
      <c r="E154" s="5" t="n">
        <v>46188.725</v>
      </c>
      <c r="F154" s="5" t="n">
        <v>46189.05</v>
      </c>
      <c r="G154" s="5" t="n">
        <v>46189.4875</v>
      </c>
      <c r="H154" s="5" t="n">
        <v>46189.8291666667</v>
      </c>
      <c r="I154" s="4" t="n">
        <v>15</v>
      </c>
      <c r="J154" s="6" t="n">
        <v>25.6</v>
      </c>
      <c r="K154" s="6" t="n">
        <v>7.8</v>
      </c>
      <c r="L154" s="6" t="n">
        <v>10.5</v>
      </c>
      <c r="M154" s="6" t="n">
        <v>8.2</v>
      </c>
      <c r="N154" s="6" t="n">
        <v>52.1</v>
      </c>
    </row>
    <row r="155" customFormat="false" ht="15" hidden="false" customHeight="false" outlineLevel="0" collapsed="false">
      <c r="A155" s="4" t="s">
        <v>172</v>
      </c>
      <c r="B155" s="4" t="s">
        <v>17</v>
      </c>
      <c r="C155" s="4" t="s">
        <v>53</v>
      </c>
      <c r="D155" s="5" t="n">
        <v>46109.8194444445</v>
      </c>
      <c r="E155" s="5" t="n">
        <v>46110.7861111111</v>
      </c>
      <c r="F155" s="5" t="n">
        <v>46111.0527777778</v>
      </c>
      <c r="G155" s="5" t="n">
        <v>46111.3944444444</v>
      </c>
      <c r="H155" s="5" t="n">
        <v>46111.6611111111</v>
      </c>
      <c r="I155" s="4" t="n">
        <v>19</v>
      </c>
      <c r="J155" s="6" t="n">
        <v>23.2</v>
      </c>
      <c r="K155" s="6" t="n">
        <v>6.4</v>
      </c>
      <c r="L155" s="6" t="n">
        <v>8.2</v>
      </c>
      <c r="M155" s="6" t="n">
        <v>6.4</v>
      </c>
      <c r="N155" s="6" t="n">
        <v>44.2</v>
      </c>
    </row>
    <row r="156" customFormat="false" ht="15" hidden="false" customHeight="false" outlineLevel="0" collapsed="false">
      <c r="A156" s="4" t="s">
        <v>173</v>
      </c>
      <c r="B156" s="4" t="s">
        <v>24</v>
      </c>
      <c r="C156" s="4" t="s">
        <v>18</v>
      </c>
      <c r="D156" s="5" t="n">
        <v>46117.6381944444</v>
      </c>
      <c r="E156" s="5" t="n">
        <v>46118.6631944445</v>
      </c>
      <c r="F156" s="5" t="n">
        <v>46118.7631944444</v>
      </c>
      <c r="G156" s="5" t="n">
        <v>46119.0590277778</v>
      </c>
      <c r="H156" s="5" t="n">
        <v>46119.2256944445</v>
      </c>
      <c r="I156" s="4" t="n">
        <v>15</v>
      </c>
      <c r="J156" s="6" t="n">
        <v>24.6</v>
      </c>
      <c r="K156" s="6" t="n">
        <v>2.4</v>
      </c>
      <c r="L156" s="6" t="n">
        <v>7.1</v>
      </c>
      <c r="M156" s="6" t="n">
        <v>4</v>
      </c>
      <c r="N156" s="6" t="n">
        <v>38.1</v>
      </c>
    </row>
    <row r="157" customFormat="false" ht="15" hidden="false" customHeight="false" outlineLevel="0" collapsed="false">
      <c r="A157" s="4" t="s">
        <v>174</v>
      </c>
      <c r="B157" s="4" t="s">
        <v>17</v>
      </c>
      <c r="C157" s="4" t="s">
        <v>53</v>
      </c>
      <c r="D157" s="5" t="n">
        <v>46050.6888888889</v>
      </c>
      <c r="E157" s="5" t="n">
        <v>46051.6805555556</v>
      </c>
      <c r="F157" s="5" t="n">
        <v>46052.0055555556</v>
      </c>
      <c r="G157" s="5" t="n">
        <v>46052.5680555556</v>
      </c>
      <c r="H157" s="5" t="n">
        <v>46052.8680555556</v>
      </c>
      <c r="I157" s="4" t="n">
        <v>16</v>
      </c>
      <c r="J157" s="6" t="n">
        <v>23.8</v>
      </c>
      <c r="K157" s="6" t="n">
        <v>7.8</v>
      </c>
      <c r="L157" s="6" t="n">
        <v>13.5</v>
      </c>
      <c r="M157" s="6" t="n">
        <v>7.2</v>
      </c>
      <c r="N157" s="6" t="n">
        <v>52.3</v>
      </c>
    </row>
    <row r="158" customFormat="false" ht="15" hidden="false" customHeight="false" outlineLevel="0" collapsed="false">
      <c r="A158" s="4" t="s">
        <v>175</v>
      </c>
      <c r="B158" s="4" t="s">
        <v>20</v>
      </c>
      <c r="C158" s="4" t="s">
        <v>53</v>
      </c>
      <c r="D158" s="5" t="n">
        <v>46173.7222222222</v>
      </c>
      <c r="E158" s="5" t="n">
        <v>46174.8097222222</v>
      </c>
      <c r="F158" s="5" t="n">
        <v>46175.1013888889</v>
      </c>
      <c r="G158" s="5" t="n">
        <v>46175.6638888889</v>
      </c>
      <c r="H158" s="5" t="n">
        <v>46175.8805555556</v>
      </c>
      <c r="I158" s="4" t="n">
        <v>17</v>
      </c>
      <c r="J158" s="6" t="n">
        <v>26.1</v>
      </c>
      <c r="K158" s="6" t="n">
        <v>7</v>
      </c>
      <c r="L158" s="6" t="n">
        <v>13.5</v>
      </c>
      <c r="M158" s="6" t="n">
        <v>5.2</v>
      </c>
      <c r="N158" s="6" t="n">
        <v>51.8</v>
      </c>
    </row>
    <row r="159" customFormat="false" ht="15" hidden="false" customHeight="false" outlineLevel="0" collapsed="false">
      <c r="A159" s="4" t="s">
        <v>176</v>
      </c>
      <c r="B159" s="4" t="s">
        <v>24</v>
      </c>
      <c r="C159" s="4" t="s">
        <v>35</v>
      </c>
      <c r="D159" s="5" t="n">
        <v>46048.6326388889</v>
      </c>
      <c r="E159" s="5" t="n">
        <v>46049.4826388889</v>
      </c>
      <c r="F159" s="5" t="n">
        <v>46049.8618055556</v>
      </c>
      <c r="G159" s="5" t="n">
        <v>46050.4409722222</v>
      </c>
      <c r="H159" s="5" t="n">
        <v>46050.6784722222</v>
      </c>
      <c r="I159" s="4" t="n">
        <v>15</v>
      </c>
      <c r="J159" s="6" t="n">
        <v>20.4</v>
      </c>
      <c r="K159" s="6" t="n">
        <v>9.1</v>
      </c>
      <c r="L159" s="6" t="n">
        <v>13.9</v>
      </c>
      <c r="M159" s="6" t="n">
        <v>5.7</v>
      </c>
      <c r="N159" s="6" t="n">
        <v>49.1</v>
      </c>
    </row>
    <row r="160" customFormat="false" ht="15" hidden="false" customHeight="false" outlineLevel="0" collapsed="false">
      <c r="A160" s="4" t="s">
        <v>177</v>
      </c>
      <c r="B160" s="4" t="s">
        <v>17</v>
      </c>
      <c r="C160" s="4" t="s">
        <v>18</v>
      </c>
      <c r="D160" s="5" t="n">
        <v>46099.5756944444</v>
      </c>
      <c r="E160" s="5" t="n">
        <v>46099.8548611111</v>
      </c>
      <c r="F160" s="5" t="n">
        <v>46100.1881944445</v>
      </c>
      <c r="G160" s="5" t="n">
        <v>46100.6756944444</v>
      </c>
      <c r="H160" s="5" t="n">
        <v>46100.9465277778</v>
      </c>
      <c r="I160" s="4" t="n">
        <v>13</v>
      </c>
      <c r="J160" s="6" t="n">
        <v>6.7</v>
      </c>
      <c r="K160" s="6" t="n">
        <v>8</v>
      </c>
      <c r="L160" s="6" t="n">
        <v>11.7</v>
      </c>
      <c r="M160" s="6" t="n">
        <v>6.5</v>
      </c>
      <c r="N160" s="6" t="n">
        <v>32.9</v>
      </c>
    </row>
    <row r="161" customFormat="false" ht="15" hidden="false" customHeight="false" outlineLevel="0" collapsed="false">
      <c r="A161" s="4" t="s">
        <v>178</v>
      </c>
      <c r="B161" s="4" t="s">
        <v>20</v>
      </c>
      <c r="C161" s="4" t="s">
        <v>18</v>
      </c>
      <c r="D161" s="5" t="n">
        <v>46200.5527777778</v>
      </c>
      <c r="E161" s="5" t="n">
        <v>46200.9611111111</v>
      </c>
      <c r="F161" s="5" t="n">
        <v>46201.3194444445</v>
      </c>
      <c r="G161" s="5" t="n">
        <v>46201.8611111111</v>
      </c>
      <c r="H161" s="5" t="n">
        <v>46202.1986111111</v>
      </c>
      <c r="I161" s="4" t="n">
        <v>13</v>
      </c>
      <c r="J161" s="6" t="n">
        <v>9.8</v>
      </c>
      <c r="K161" s="6" t="n">
        <v>8.6</v>
      </c>
      <c r="L161" s="6" t="n">
        <v>13</v>
      </c>
      <c r="M161" s="6" t="n">
        <v>8.1</v>
      </c>
      <c r="N161" s="6" t="n">
        <v>39.5</v>
      </c>
    </row>
    <row r="162" customFormat="false" ht="15" hidden="false" customHeight="false" outlineLevel="0" collapsed="false">
      <c r="A162" s="4" t="s">
        <v>179</v>
      </c>
      <c r="B162" s="4" t="s">
        <v>20</v>
      </c>
      <c r="C162" s="4" t="s">
        <v>18</v>
      </c>
      <c r="D162" s="5" t="n">
        <v>46063.8465277778</v>
      </c>
      <c r="E162" s="5" t="n">
        <v>46065.0840277778</v>
      </c>
      <c r="F162" s="5" t="n">
        <v>46065.4590277778</v>
      </c>
      <c r="G162" s="5" t="n">
        <v>46065.7631944444</v>
      </c>
      <c r="H162" s="5" t="n">
        <v>46066.0215277778</v>
      </c>
      <c r="I162" s="4" t="n">
        <v>20</v>
      </c>
      <c r="J162" s="6" t="n">
        <v>29.7</v>
      </c>
      <c r="K162" s="6" t="n">
        <v>9</v>
      </c>
      <c r="L162" s="6" t="n">
        <v>7.3</v>
      </c>
      <c r="M162" s="6" t="n">
        <v>6.2</v>
      </c>
      <c r="N162" s="6" t="n">
        <v>52.2</v>
      </c>
    </row>
    <row r="163" customFormat="false" ht="15" hidden="false" customHeight="false" outlineLevel="0" collapsed="false">
      <c r="A163" s="4" t="s">
        <v>180</v>
      </c>
      <c r="B163" s="4" t="s">
        <v>24</v>
      </c>
      <c r="C163" s="4" t="s">
        <v>18</v>
      </c>
      <c r="D163" s="5" t="n">
        <v>46123.68125</v>
      </c>
      <c r="E163" s="5" t="n">
        <v>46124.8520833333</v>
      </c>
      <c r="F163" s="5" t="n">
        <v>46125.2145833333</v>
      </c>
      <c r="G163" s="5" t="n">
        <v>46125.71875</v>
      </c>
      <c r="H163" s="5" t="n">
        <v>46126.01875</v>
      </c>
      <c r="I163" s="4" t="n">
        <v>16</v>
      </c>
      <c r="J163" s="6" t="n">
        <v>28.1</v>
      </c>
      <c r="K163" s="6" t="n">
        <v>8.7</v>
      </c>
      <c r="L163" s="6" t="n">
        <v>12.1</v>
      </c>
      <c r="M163" s="6" t="n">
        <v>7.2</v>
      </c>
      <c r="N163" s="6" t="n">
        <v>56.1</v>
      </c>
    </row>
    <row r="164" customFormat="false" ht="15" hidden="false" customHeight="false" outlineLevel="0" collapsed="false">
      <c r="A164" s="4" t="s">
        <v>181</v>
      </c>
      <c r="B164" s="4" t="s">
        <v>17</v>
      </c>
      <c r="C164" s="4" t="s">
        <v>18</v>
      </c>
      <c r="D164" s="5" t="n">
        <v>46192.7305555556</v>
      </c>
      <c r="E164" s="5" t="n">
        <v>46193.7138888889</v>
      </c>
      <c r="F164" s="5" t="n">
        <v>46193.9472222222</v>
      </c>
      <c r="G164" s="5" t="n">
        <v>46194.1555555556</v>
      </c>
      <c r="H164" s="5" t="n">
        <v>46194.3013888889</v>
      </c>
      <c r="I164" s="4" t="n">
        <v>17</v>
      </c>
      <c r="J164" s="6" t="n">
        <v>23.6</v>
      </c>
      <c r="K164" s="6" t="n">
        <v>5.6</v>
      </c>
      <c r="L164" s="6" t="n">
        <v>5</v>
      </c>
      <c r="M164" s="6" t="n">
        <v>3.5</v>
      </c>
      <c r="N164" s="6" t="n">
        <v>37.7</v>
      </c>
    </row>
    <row r="165" customFormat="false" ht="15" hidden="false" customHeight="false" outlineLevel="0" collapsed="false">
      <c r="A165" s="4" t="s">
        <v>182</v>
      </c>
      <c r="B165" s="4" t="s">
        <v>24</v>
      </c>
      <c r="C165" s="4" t="s">
        <v>18</v>
      </c>
      <c r="D165" s="5" t="n">
        <v>46084.88125</v>
      </c>
      <c r="E165" s="5" t="n">
        <v>46085.7479166667</v>
      </c>
      <c r="F165" s="5" t="n">
        <v>46086.18125</v>
      </c>
      <c r="G165" s="5" t="n">
        <v>46086.3520833333</v>
      </c>
      <c r="H165" s="5" t="n">
        <v>46086.6604166667</v>
      </c>
      <c r="I165" s="4" t="n">
        <v>21</v>
      </c>
      <c r="J165" s="6" t="n">
        <v>20.8</v>
      </c>
      <c r="K165" s="6" t="n">
        <v>10.4</v>
      </c>
      <c r="L165" s="6" t="n">
        <v>4.1</v>
      </c>
      <c r="M165" s="6" t="n">
        <v>7.4</v>
      </c>
      <c r="N165" s="6" t="n">
        <v>42.7</v>
      </c>
    </row>
    <row r="166" customFormat="false" ht="15" hidden="false" customHeight="false" outlineLevel="0" collapsed="false">
      <c r="A166" s="4" t="s">
        <v>183</v>
      </c>
      <c r="B166" s="4" t="s">
        <v>24</v>
      </c>
      <c r="C166" s="4" t="s">
        <v>35</v>
      </c>
      <c r="D166" s="5" t="n">
        <v>46036.7472222222</v>
      </c>
      <c r="E166" s="5" t="n">
        <v>46037.9013888889</v>
      </c>
      <c r="F166" s="5" t="n">
        <v>46038.0388888889</v>
      </c>
      <c r="G166" s="5" t="n">
        <v>46038.3347222222</v>
      </c>
      <c r="H166" s="5" t="n">
        <v>46038.4638888889</v>
      </c>
      <c r="I166" s="4" t="n">
        <v>17</v>
      </c>
      <c r="J166" s="6" t="n">
        <v>27.7</v>
      </c>
      <c r="K166" s="6" t="n">
        <v>3.3</v>
      </c>
      <c r="L166" s="6" t="n">
        <v>7.1</v>
      </c>
      <c r="M166" s="6" t="n">
        <v>3.1</v>
      </c>
      <c r="N166" s="6" t="n">
        <v>41.2</v>
      </c>
    </row>
    <row r="167" customFormat="false" ht="15" hidden="false" customHeight="false" outlineLevel="0" collapsed="false">
      <c r="A167" s="4" t="s">
        <v>184</v>
      </c>
      <c r="B167" s="4" t="s">
        <v>24</v>
      </c>
      <c r="C167" s="4" t="s">
        <v>35</v>
      </c>
      <c r="D167" s="5" t="n">
        <v>46069.7513888889</v>
      </c>
      <c r="E167" s="5" t="n">
        <v>46070.7555555556</v>
      </c>
      <c r="F167" s="5" t="n">
        <v>46071.1222222222</v>
      </c>
      <c r="G167" s="5" t="n">
        <v>46071.3555555556</v>
      </c>
      <c r="H167" s="5" t="n">
        <v>46071.5680555556</v>
      </c>
      <c r="I167" s="4" t="n">
        <v>18</v>
      </c>
      <c r="J167" s="6" t="n">
        <v>24.1</v>
      </c>
      <c r="K167" s="6" t="n">
        <v>8.8</v>
      </c>
      <c r="L167" s="6" t="n">
        <v>5.6</v>
      </c>
      <c r="M167" s="6" t="n">
        <v>5.1</v>
      </c>
      <c r="N167" s="6" t="n">
        <v>43.6</v>
      </c>
    </row>
    <row r="168" customFormat="false" ht="15" hidden="false" customHeight="false" outlineLevel="0" collapsed="false">
      <c r="A168" s="4" t="s">
        <v>185</v>
      </c>
      <c r="B168" s="4" t="s">
        <v>20</v>
      </c>
      <c r="C168" s="4" t="s">
        <v>35</v>
      </c>
      <c r="D168" s="5" t="n">
        <v>46141.5104166667</v>
      </c>
      <c r="E168" s="5" t="n">
        <v>46141.78125</v>
      </c>
      <c r="F168" s="5" t="n">
        <v>46142.2020833333</v>
      </c>
      <c r="G168" s="5" t="n">
        <v>46142.54375</v>
      </c>
      <c r="H168" s="5" t="n">
        <v>46142.86875</v>
      </c>
      <c r="I168" s="4" t="n">
        <v>12</v>
      </c>
      <c r="J168" s="6" t="n">
        <v>6.5</v>
      </c>
      <c r="K168" s="6" t="n">
        <v>10.1</v>
      </c>
      <c r="L168" s="6" t="n">
        <v>8.2</v>
      </c>
      <c r="M168" s="6" t="n">
        <v>7.8</v>
      </c>
      <c r="N168" s="6" t="n">
        <v>32.6</v>
      </c>
    </row>
    <row r="169" customFormat="false" ht="15" hidden="false" customHeight="false" outlineLevel="0" collapsed="false">
      <c r="A169" s="4" t="s">
        <v>186</v>
      </c>
      <c r="B169" s="4" t="s">
        <v>20</v>
      </c>
      <c r="C169" s="4" t="s">
        <v>53</v>
      </c>
      <c r="D169" s="5" t="n">
        <v>46139.5958333333</v>
      </c>
      <c r="E169" s="5" t="n">
        <v>46140.7541666667</v>
      </c>
      <c r="F169" s="5" t="n">
        <v>46141.0458333333</v>
      </c>
      <c r="G169" s="5" t="n">
        <v>46141.3625</v>
      </c>
      <c r="H169" s="5" t="n">
        <v>46141.4916666667</v>
      </c>
      <c r="I169" s="4" t="n">
        <v>14</v>
      </c>
      <c r="J169" s="6" t="n">
        <v>27.8</v>
      </c>
      <c r="K169" s="6" t="n">
        <v>7</v>
      </c>
      <c r="L169" s="6" t="n">
        <v>7.6</v>
      </c>
      <c r="M169" s="6" t="n">
        <v>3.1</v>
      </c>
      <c r="N169" s="6" t="n">
        <v>45.5</v>
      </c>
    </row>
    <row r="170" customFormat="false" ht="15" hidden="false" customHeight="false" outlineLevel="0" collapsed="false">
      <c r="A170" s="4" t="s">
        <v>187</v>
      </c>
      <c r="B170" s="4" t="s">
        <v>20</v>
      </c>
      <c r="C170" s="4" t="s">
        <v>18</v>
      </c>
      <c r="D170" s="5" t="n">
        <v>46091.3541666667</v>
      </c>
      <c r="E170" s="5" t="n">
        <v>46091.6541666667</v>
      </c>
      <c r="F170" s="5" t="n">
        <v>46091.9666666667</v>
      </c>
      <c r="G170" s="5" t="n">
        <v>46092.1375</v>
      </c>
      <c r="H170" s="5" t="n">
        <v>46092.4666666667</v>
      </c>
      <c r="I170" s="4" t="n">
        <v>8</v>
      </c>
      <c r="J170" s="6" t="n">
        <v>7.2</v>
      </c>
      <c r="K170" s="6" t="n">
        <v>7.5</v>
      </c>
      <c r="L170" s="6" t="n">
        <v>4.1</v>
      </c>
      <c r="M170" s="6" t="n">
        <v>7.9</v>
      </c>
      <c r="N170" s="6" t="n">
        <v>26.7</v>
      </c>
    </row>
    <row r="171" customFormat="false" ht="15" hidden="false" customHeight="false" outlineLevel="0" collapsed="false">
      <c r="A171" s="4" t="s">
        <v>188</v>
      </c>
      <c r="B171" s="4" t="s">
        <v>24</v>
      </c>
      <c r="C171" s="4" t="s">
        <v>18</v>
      </c>
      <c r="D171" s="5" t="n">
        <v>46068.5395833333</v>
      </c>
      <c r="E171" s="5" t="n">
        <v>46068.8770833333</v>
      </c>
      <c r="F171" s="5" t="n">
        <v>46069.30625</v>
      </c>
      <c r="G171" s="5" t="n">
        <v>46069.4729166667</v>
      </c>
      <c r="H171" s="5" t="n">
        <v>46069.8229166667</v>
      </c>
      <c r="I171" s="4" t="n">
        <v>12</v>
      </c>
      <c r="J171" s="6" t="n">
        <v>8.1</v>
      </c>
      <c r="K171" s="6" t="n">
        <v>10.3</v>
      </c>
      <c r="L171" s="6" t="n">
        <v>4</v>
      </c>
      <c r="M171" s="6" t="n">
        <v>8.4</v>
      </c>
      <c r="N171" s="6" t="n">
        <v>30.8</v>
      </c>
    </row>
    <row r="172" customFormat="false" ht="15" hidden="false" customHeight="false" outlineLevel="0" collapsed="false">
      <c r="A172" s="4" t="s">
        <v>189</v>
      </c>
      <c r="B172" s="4" t="s">
        <v>24</v>
      </c>
      <c r="C172" s="4" t="s">
        <v>35</v>
      </c>
      <c r="D172" s="5" t="n">
        <v>46033.6006944445</v>
      </c>
      <c r="E172" s="5" t="n">
        <v>46034.6423611111</v>
      </c>
      <c r="F172" s="5" t="n">
        <v>46034.8256944444</v>
      </c>
      <c r="G172" s="5" t="n">
        <v>46035.4048611111</v>
      </c>
      <c r="H172" s="5" t="n">
        <v>46035.5965277778</v>
      </c>
      <c r="I172" s="4" t="n">
        <v>14</v>
      </c>
      <c r="J172" s="6" t="n">
        <v>25</v>
      </c>
      <c r="K172" s="6" t="n">
        <v>4.4</v>
      </c>
      <c r="L172" s="6" t="n">
        <v>13.9</v>
      </c>
      <c r="M172" s="6" t="n">
        <v>4.6</v>
      </c>
      <c r="N172" s="6" t="n">
        <v>47.9</v>
      </c>
    </row>
    <row r="173" customFormat="false" ht="15" hidden="false" customHeight="false" outlineLevel="0" collapsed="false">
      <c r="A173" s="4" t="s">
        <v>190</v>
      </c>
      <c r="B173" s="4" t="s">
        <v>20</v>
      </c>
      <c r="C173" s="4" t="s">
        <v>53</v>
      </c>
      <c r="D173" s="5" t="n">
        <v>46193.5479166667</v>
      </c>
      <c r="E173" s="5" t="n">
        <v>46193.7604166667</v>
      </c>
      <c r="F173" s="5" t="n">
        <v>46193.9645833333</v>
      </c>
      <c r="G173" s="5" t="n">
        <v>46194.46875</v>
      </c>
      <c r="H173" s="5" t="n">
        <v>46194.75625</v>
      </c>
      <c r="I173" s="4" t="n">
        <v>13</v>
      </c>
      <c r="J173" s="6" t="n">
        <v>5.1</v>
      </c>
      <c r="K173" s="6" t="n">
        <v>4.9</v>
      </c>
      <c r="L173" s="6" t="n">
        <v>12.1</v>
      </c>
      <c r="M173" s="6" t="n">
        <v>6.9</v>
      </c>
      <c r="N173" s="6" t="n">
        <v>29</v>
      </c>
    </row>
    <row r="174" customFormat="false" ht="15" hidden="false" customHeight="false" outlineLevel="0" collapsed="false">
      <c r="A174" s="4" t="s">
        <v>191</v>
      </c>
      <c r="B174" s="4" t="s">
        <v>20</v>
      </c>
      <c r="C174" s="4" t="s">
        <v>35</v>
      </c>
      <c r="D174" s="5" t="n">
        <v>46141.70625</v>
      </c>
      <c r="E174" s="5" t="n">
        <v>46142.5729166667</v>
      </c>
      <c r="F174" s="5" t="n">
        <v>46142.7645833333</v>
      </c>
      <c r="G174" s="5" t="n">
        <v>46143.2729166667</v>
      </c>
      <c r="H174" s="5" t="n">
        <v>46143.5145833333</v>
      </c>
      <c r="I174" s="4" t="n">
        <v>16</v>
      </c>
      <c r="J174" s="6" t="n">
        <v>20.8</v>
      </c>
      <c r="K174" s="6" t="n">
        <v>4.6</v>
      </c>
      <c r="L174" s="6" t="n">
        <v>12.2</v>
      </c>
      <c r="M174" s="6" t="n">
        <v>5.8</v>
      </c>
      <c r="N174" s="6" t="n">
        <v>43.4</v>
      </c>
    </row>
    <row r="175" customFormat="false" ht="15" hidden="false" customHeight="false" outlineLevel="0" collapsed="false">
      <c r="A175" s="4" t="s">
        <v>192</v>
      </c>
      <c r="B175" s="4" t="s">
        <v>17</v>
      </c>
      <c r="C175" s="4" t="s">
        <v>18</v>
      </c>
      <c r="D175" s="5" t="n">
        <v>46055.7604166667</v>
      </c>
      <c r="E175" s="5" t="n">
        <v>46056.71875</v>
      </c>
      <c r="F175" s="5" t="n">
        <v>46056.8229166667</v>
      </c>
      <c r="G175" s="5" t="n">
        <v>46057.1395833333</v>
      </c>
      <c r="H175" s="5" t="n">
        <v>46057.45625</v>
      </c>
      <c r="I175" s="4" t="n">
        <v>18</v>
      </c>
      <c r="J175" s="6" t="n">
        <v>23</v>
      </c>
      <c r="K175" s="6" t="n">
        <v>2.5</v>
      </c>
      <c r="L175" s="6" t="n">
        <v>7.6</v>
      </c>
      <c r="M175" s="6" t="n">
        <v>7.6</v>
      </c>
      <c r="N175" s="6" t="n">
        <v>40.7</v>
      </c>
    </row>
    <row r="176" customFormat="false" ht="15" hidden="false" customHeight="false" outlineLevel="0" collapsed="false">
      <c r="A176" s="4" t="s">
        <v>193</v>
      </c>
      <c r="B176" s="4" t="s">
        <v>17</v>
      </c>
      <c r="C176" s="4" t="s">
        <v>18</v>
      </c>
      <c r="D176" s="5" t="n">
        <v>46154.6673611111</v>
      </c>
      <c r="E176" s="5" t="n">
        <v>46155.7631944444</v>
      </c>
      <c r="F176" s="5" t="n">
        <v>46156.0881944444</v>
      </c>
      <c r="G176" s="5" t="n">
        <v>46156.5423611111</v>
      </c>
      <c r="H176" s="5" t="n">
        <v>46156.7090277778</v>
      </c>
      <c r="I176" s="4" t="n">
        <v>16</v>
      </c>
      <c r="J176" s="6" t="n">
        <v>26.3</v>
      </c>
      <c r="K176" s="6" t="n">
        <v>7.8</v>
      </c>
      <c r="L176" s="6" t="n">
        <v>10.9</v>
      </c>
      <c r="M176" s="6" t="n">
        <v>4</v>
      </c>
      <c r="N176" s="6" t="n">
        <v>49</v>
      </c>
    </row>
    <row r="177" customFormat="false" ht="15" hidden="false" customHeight="false" outlineLevel="0" collapsed="false">
      <c r="A177" s="4" t="s">
        <v>194</v>
      </c>
      <c r="B177" s="4" t="s">
        <v>20</v>
      </c>
      <c r="C177" s="4" t="s">
        <v>18</v>
      </c>
      <c r="D177" s="5" t="n">
        <v>46173.6125</v>
      </c>
      <c r="E177" s="5" t="n">
        <v>46174.725</v>
      </c>
      <c r="F177" s="5" t="n">
        <v>46175.025</v>
      </c>
      <c r="G177" s="5" t="n">
        <v>46175.3166666667</v>
      </c>
      <c r="H177" s="5" t="n">
        <v>46175.6791666667</v>
      </c>
      <c r="I177" s="4" t="n">
        <v>14</v>
      </c>
      <c r="J177" s="6" t="n">
        <v>26.7</v>
      </c>
      <c r="K177" s="6" t="n">
        <v>7.2</v>
      </c>
      <c r="L177" s="6" t="n">
        <v>7</v>
      </c>
      <c r="M177" s="6" t="n">
        <v>8.7</v>
      </c>
      <c r="N177" s="6" t="n">
        <v>49.6</v>
      </c>
    </row>
    <row r="178" customFormat="false" ht="15" hidden="false" customHeight="false" outlineLevel="0" collapsed="false">
      <c r="A178" s="4" t="s">
        <v>195</v>
      </c>
      <c r="B178" s="4" t="s">
        <v>17</v>
      </c>
      <c r="C178" s="4" t="s">
        <v>35</v>
      </c>
      <c r="D178" s="5" t="n">
        <v>46156.6416666667</v>
      </c>
      <c r="E178" s="5" t="n">
        <v>46157.8375</v>
      </c>
      <c r="F178" s="5" t="n">
        <v>46157.9375</v>
      </c>
      <c r="G178" s="5" t="n">
        <v>46158.2416666667</v>
      </c>
      <c r="H178" s="5" t="n">
        <v>46158.4333333333</v>
      </c>
      <c r="I178" s="4" t="n">
        <v>15</v>
      </c>
      <c r="J178" s="6" t="n">
        <v>28.7</v>
      </c>
      <c r="K178" s="6" t="n">
        <v>2.4</v>
      </c>
      <c r="L178" s="6" t="n">
        <v>7.3</v>
      </c>
      <c r="M178" s="6" t="n">
        <v>4.6</v>
      </c>
      <c r="N178" s="6" t="n">
        <v>43</v>
      </c>
    </row>
    <row r="179" customFormat="false" ht="15" hidden="false" customHeight="false" outlineLevel="0" collapsed="false">
      <c r="A179" s="4" t="s">
        <v>196</v>
      </c>
      <c r="B179" s="4" t="s">
        <v>17</v>
      </c>
      <c r="C179" s="4" t="s">
        <v>18</v>
      </c>
      <c r="D179" s="5" t="n">
        <v>46044.5736111111</v>
      </c>
      <c r="E179" s="5" t="n">
        <v>46044.9611111111</v>
      </c>
      <c r="F179" s="5" t="n">
        <v>46045.0861111111</v>
      </c>
      <c r="G179" s="5" t="n">
        <v>46045.4777777778</v>
      </c>
      <c r="H179" s="5" t="n">
        <v>46045.7819444445</v>
      </c>
      <c r="I179" s="4" t="n">
        <v>13</v>
      </c>
      <c r="J179" s="6" t="n">
        <v>9.3</v>
      </c>
      <c r="K179" s="6" t="n">
        <v>3</v>
      </c>
      <c r="L179" s="6" t="n">
        <v>9.4</v>
      </c>
      <c r="M179" s="6" t="n">
        <v>7.3</v>
      </c>
      <c r="N179" s="6" t="n">
        <v>29</v>
      </c>
    </row>
    <row r="180" customFormat="false" ht="15" hidden="false" customHeight="false" outlineLevel="0" collapsed="false">
      <c r="A180" s="4" t="s">
        <v>197</v>
      </c>
      <c r="B180" s="4" t="s">
        <v>20</v>
      </c>
      <c r="C180" s="4" t="s">
        <v>18</v>
      </c>
      <c r="D180" s="5" t="n">
        <v>46113.7993055556</v>
      </c>
      <c r="E180" s="5" t="n">
        <v>46114.9784722222</v>
      </c>
      <c r="F180" s="5" t="n">
        <v>46115.3451388889</v>
      </c>
      <c r="G180" s="5" t="n">
        <v>46115.9201388889</v>
      </c>
      <c r="H180" s="5" t="n">
        <v>46116.1409722222</v>
      </c>
      <c r="I180" s="4" t="n">
        <v>19</v>
      </c>
      <c r="J180" s="6" t="n">
        <v>28.3</v>
      </c>
      <c r="K180" s="6" t="n">
        <v>8.8</v>
      </c>
      <c r="L180" s="6" t="n">
        <v>13.8</v>
      </c>
      <c r="M180" s="6" t="n">
        <v>5.3</v>
      </c>
      <c r="N180" s="6" t="n">
        <v>56.2</v>
      </c>
    </row>
    <row r="181" customFormat="false" ht="15" hidden="false" customHeight="false" outlineLevel="0" collapsed="false">
      <c r="A181" s="4" t="s">
        <v>198</v>
      </c>
      <c r="B181" s="4" t="s">
        <v>20</v>
      </c>
      <c r="C181" s="4" t="s">
        <v>18</v>
      </c>
      <c r="D181" s="5" t="n">
        <v>46144.3416666667</v>
      </c>
      <c r="E181" s="5" t="n">
        <v>46144.4375</v>
      </c>
      <c r="F181" s="5" t="n">
        <v>46144.6041666667</v>
      </c>
      <c r="G181" s="5" t="n">
        <v>46144.75</v>
      </c>
      <c r="H181" s="5" t="n">
        <v>46145.1041666667</v>
      </c>
      <c r="I181" s="4" t="n">
        <v>8</v>
      </c>
      <c r="J181" s="6" t="n">
        <v>2.3</v>
      </c>
      <c r="K181" s="6" t="n">
        <v>4</v>
      </c>
      <c r="L181" s="6" t="n">
        <v>3.5</v>
      </c>
      <c r="M181" s="6" t="n">
        <v>8.5</v>
      </c>
      <c r="N181" s="6" t="n">
        <v>18.3</v>
      </c>
    </row>
    <row r="182" customFormat="false" ht="15" hidden="false" customHeight="false" outlineLevel="0" collapsed="false">
      <c r="A182" s="4" t="s">
        <v>199</v>
      </c>
      <c r="B182" s="4" t="s">
        <v>17</v>
      </c>
      <c r="C182" s="4" t="s">
        <v>53</v>
      </c>
      <c r="D182" s="5" t="n">
        <v>46166.5847222222</v>
      </c>
      <c r="E182" s="5" t="n">
        <v>46167.7305555556</v>
      </c>
      <c r="F182" s="5" t="n">
        <v>46167.8930555556</v>
      </c>
      <c r="G182" s="5" t="n">
        <v>46168.1805555556</v>
      </c>
      <c r="H182" s="5" t="n">
        <v>46168.4930555556</v>
      </c>
      <c r="I182" s="4" t="n">
        <v>14</v>
      </c>
      <c r="J182" s="6" t="n">
        <v>27.5</v>
      </c>
      <c r="K182" s="6" t="n">
        <v>3.9</v>
      </c>
      <c r="L182" s="6" t="n">
        <v>6.9</v>
      </c>
      <c r="M182" s="6" t="n">
        <v>7.5</v>
      </c>
      <c r="N182" s="6" t="n">
        <v>45.8</v>
      </c>
    </row>
    <row r="183" customFormat="false" ht="15" hidden="false" customHeight="false" outlineLevel="0" collapsed="false">
      <c r="A183" s="4" t="s">
        <v>200</v>
      </c>
      <c r="B183" s="4" t="s">
        <v>24</v>
      </c>
      <c r="C183" s="4" t="s">
        <v>18</v>
      </c>
      <c r="D183" s="5" t="n">
        <v>46058.8104166667</v>
      </c>
      <c r="E183" s="5" t="n">
        <v>46060.0145833333</v>
      </c>
      <c r="F183" s="5" t="n">
        <v>46060.40625</v>
      </c>
      <c r="G183" s="5" t="n">
        <v>46060.9395833333</v>
      </c>
      <c r="H183" s="5" t="n">
        <v>46061.1354166667</v>
      </c>
      <c r="I183" s="4" t="n">
        <v>19</v>
      </c>
      <c r="J183" s="6" t="n">
        <v>28.9</v>
      </c>
      <c r="K183" s="6" t="n">
        <v>9.4</v>
      </c>
      <c r="L183" s="6" t="n">
        <v>12.8</v>
      </c>
      <c r="M183" s="6" t="n">
        <v>4.7</v>
      </c>
      <c r="N183" s="6" t="n">
        <v>55.8</v>
      </c>
    </row>
    <row r="184" customFormat="false" ht="15" hidden="false" customHeight="false" outlineLevel="0" collapsed="false">
      <c r="A184" s="4" t="s">
        <v>201</v>
      </c>
      <c r="B184" s="4" t="s">
        <v>24</v>
      </c>
      <c r="C184" s="4" t="s">
        <v>18</v>
      </c>
      <c r="D184" s="5" t="n">
        <v>46154.5770833333</v>
      </c>
      <c r="E184" s="5" t="n">
        <v>46154.91875</v>
      </c>
      <c r="F184" s="5" t="n">
        <v>46155.3354166667</v>
      </c>
      <c r="G184" s="5" t="n">
        <v>46155.79375</v>
      </c>
      <c r="H184" s="5" t="n">
        <v>46155.9020833333</v>
      </c>
      <c r="I184" s="4" t="n">
        <v>13</v>
      </c>
      <c r="J184" s="6" t="n">
        <v>8.2</v>
      </c>
      <c r="K184" s="6" t="n">
        <v>10</v>
      </c>
      <c r="L184" s="6" t="n">
        <v>11</v>
      </c>
      <c r="M184" s="6" t="n">
        <v>2.6</v>
      </c>
      <c r="N184" s="6" t="n">
        <v>31.8</v>
      </c>
    </row>
    <row r="185" customFormat="false" ht="15" hidden="false" customHeight="false" outlineLevel="0" collapsed="false">
      <c r="A185" s="4" t="s">
        <v>202</v>
      </c>
      <c r="B185" s="4" t="s">
        <v>17</v>
      </c>
      <c r="C185" s="4" t="s">
        <v>35</v>
      </c>
      <c r="D185" s="5" t="n">
        <v>46166.5041666667</v>
      </c>
      <c r="E185" s="5" t="n">
        <v>46166.6958333333</v>
      </c>
      <c r="F185" s="5" t="n">
        <v>46167.0541666667</v>
      </c>
      <c r="G185" s="5" t="n">
        <v>46167.3208333333</v>
      </c>
      <c r="H185" s="5" t="n">
        <v>46167.5791666667</v>
      </c>
      <c r="I185" s="4" t="n">
        <v>12</v>
      </c>
      <c r="J185" s="6" t="n">
        <v>4.6</v>
      </c>
      <c r="K185" s="6" t="n">
        <v>8.6</v>
      </c>
      <c r="L185" s="6" t="n">
        <v>6.4</v>
      </c>
      <c r="M185" s="6" t="n">
        <v>6.2</v>
      </c>
      <c r="N185" s="6" t="n">
        <v>25.8</v>
      </c>
    </row>
    <row r="186" customFormat="false" ht="15" hidden="false" customHeight="false" outlineLevel="0" collapsed="false">
      <c r="A186" s="4" t="s">
        <v>203</v>
      </c>
      <c r="B186" s="4" t="s">
        <v>20</v>
      </c>
      <c r="C186" s="4" t="s">
        <v>18</v>
      </c>
      <c r="D186" s="5" t="n">
        <v>46116.6152777778</v>
      </c>
      <c r="E186" s="5" t="n">
        <v>46117.8111111111</v>
      </c>
      <c r="F186" s="5" t="n">
        <v>46118.0402777778</v>
      </c>
      <c r="G186" s="5" t="n">
        <v>46118.6236111111</v>
      </c>
      <c r="H186" s="5" t="n">
        <v>46118.7861111111</v>
      </c>
      <c r="I186" s="4" t="n">
        <v>14</v>
      </c>
      <c r="J186" s="6" t="n">
        <v>28.7</v>
      </c>
      <c r="K186" s="6" t="n">
        <v>5.5</v>
      </c>
      <c r="L186" s="6" t="n">
        <v>14</v>
      </c>
      <c r="M186" s="6" t="n">
        <v>3.9</v>
      </c>
      <c r="N186" s="6" t="n">
        <v>52.1</v>
      </c>
    </row>
    <row r="187" customFormat="false" ht="15" hidden="false" customHeight="false" outlineLevel="0" collapsed="false">
      <c r="A187" s="4" t="s">
        <v>204</v>
      </c>
      <c r="B187" s="4" t="s">
        <v>24</v>
      </c>
      <c r="C187" s="4" t="s">
        <v>53</v>
      </c>
      <c r="D187" s="5" t="n">
        <v>46046.7256944445</v>
      </c>
      <c r="E187" s="5" t="n">
        <v>46047.7090277778</v>
      </c>
      <c r="F187" s="5" t="n">
        <v>46048.1256944445</v>
      </c>
      <c r="G187" s="5" t="n">
        <v>46048.5631944445</v>
      </c>
      <c r="H187" s="5" t="n">
        <v>46048.9256944444</v>
      </c>
      <c r="I187" s="4" t="n">
        <v>17</v>
      </c>
      <c r="J187" s="6" t="n">
        <v>23.6</v>
      </c>
      <c r="K187" s="6" t="n">
        <v>10</v>
      </c>
      <c r="L187" s="6" t="n">
        <v>10.5</v>
      </c>
      <c r="M187" s="6" t="n">
        <v>8.7</v>
      </c>
      <c r="N187" s="6" t="n">
        <v>52.8</v>
      </c>
    </row>
    <row r="188" customFormat="false" ht="15" hidden="false" customHeight="false" outlineLevel="0" collapsed="false">
      <c r="A188" s="4" t="s">
        <v>205</v>
      </c>
      <c r="B188" s="4" t="s">
        <v>20</v>
      </c>
      <c r="C188" s="4" t="s">
        <v>18</v>
      </c>
      <c r="D188" s="5" t="n">
        <v>46139.3361111111</v>
      </c>
      <c r="E188" s="5" t="n">
        <v>46139.4777777778</v>
      </c>
      <c r="F188" s="5" t="n">
        <v>46139.8319444444</v>
      </c>
      <c r="G188" s="5" t="n">
        <v>46140.1236111111</v>
      </c>
      <c r="H188" s="5" t="n">
        <v>46140.4819444444</v>
      </c>
      <c r="I188" s="4" t="n">
        <v>8</v>
      </c>
      <c r="J188" s="6" t="n">
        <v>3.4</v>
      </c>
      <c r="K188" s="6" t="n">
        <v>8.5</v>
      </c>
      <c r="L188" s="6" t="n">
        <v>7</v>
      </c>
      <c r="M188" s="6" t="n">
        <v>8.6</v>
      </c>
      <c r="N188" s="6" t="n">
        <v>27.5</v>
      </c>
    </row>
    <row r="189" customFormat="false" ht="15" hidden="false" customHeight="false" outlineLevel="0" collapsed="false">
      <c r="A189" s="4" t="s">
        <v>206</v>
      </c>
      <c r="B189" s="4" t="s">
        <v>20</v>
      </c>
      <c r="C189" s="4" t="s">
        <v>18</v>
      </c>
      <c r="D189" s="5" t="n">
        <v>46142.8493055556</v>
      </c>
      <c r="E189" s="5" t="n">
        <v>46143.8659722222</v>
      </c>
      <c r="F189" s="5" t="n">
        <v>46143.9826388889</v>
      </c>
      <c r="G189" s="5" t="n">
        <v>46144.1701388889</v>
      </c>
      <c r="H189" s="5" t="n">
        <v>46144.3618055556</v>
      </c>
      <c r="I189" s="4" t="n">
        <v>20</v>
      </c>
      <c r="J189" s="6" t="n">
        <v>24.4</v>
      </c>
      <c r="K189" s="6" t="n">
        <v>2.8</v>
      </c>
      <c r="L189" s="6" t="n">
        <v>4.5</v>
      </c>
      <c r="M189" s="6" t="n">
        <v>4.6</v>
      </c>
      <c r="N189" s="6" t="n">
        <v>36.3</v>
      </c>
    </row>
    <row r="190" customFormat="false" ht="15" hidden="false" customHeight="false" outlineLevel="0" collapsed="false">
      <c r="A190" s="4" t="s">
        <v>207</v>
      </c>
      <c r="B190" s="4" t="s">
        <v>20</v>
      </c>
      <c r="C190" s="4" t="s">
        <v>18</v>
      </c>
      <c r="D190" s="5" t="n">
        <v>46056.2993055556</v>
      </c>
      <c r="E190" s="5" t="n">
        <v>46056.5076388889</v>
      </c>
      <c r="F190" s="5" t="n">
        <v>46056.7534722222</v>
      </c>
      <c r="G190" s="5" t="n">
        <v>46057.1368055556</v>
      </c>
      <c r="H190" s="5" t="n">
        <v>46057.2951388889</v>
      </c>
      <c r="I190" s="4" t="n">
        <v>7</v>
      </c>
      <c r="J190" s="6" t="n">
        <v>5</v>
      </c>
      <c r="K190" s="6" t="n">
        <v>5.9</v>
      </c>
      <c r="L190" s="6" t="n">
        <v>9.2</v>
      </c>
      <c r="M190" s="6" t="n">
        <v>3.8</v>
      </c>
      <c r="N190" s="6" t="n">
        <v>23.9</v>
      </c>
    </row>
    <row r="191" customFormat="false" ht="15" hidden="false" customHeight="false" outlineLevel="0" collapsed="false">
      <c r="A191" s="4" t="s">
        <v>208</v>
      </c>
      <c r="B191" s="4" t="s">
        <v>20</v>
      </c>
      <c r="C191" s="4" t="s">
        <v>18</v>
      </c>
      <c r="D191" s="5" t="n">
        <v>46183.5402777778</v>
      </c>
      <c r="E191" s="5" t="n">
        <v>46184.0402777778</v>
      </c>
      <c r="F191" s="5" t="n">
        <v>46184.2069444444</v>
      </c>
      <c r="G191" s="5" t="n">
        <v>46184.3944444444</v>
      </c>
      <c r="H191" s="5" t="n">
        <v>46184.4986111111</v>
      </c>
      <c r="I191" s="4" t="n">
        <v>12</v>
      </c>
      <c r="J191" s="6" t="n">
        <v>12</v>
      </c>
      <c r="K191" s="6" t="n">
        <v>4</v>
      </c>
      <c r="L191" s="6" t="n">
        <v>4.5</v>
      </c>
      <c r="M191" s="6" t="n">
        <v>2.5</v>
      </c>
      <c r="N191" s="6" t="n">
        <v>23</v>
      </c>
    </row>
    <row r="192" customFormat="false" ht="15" hidden="false" customHeight="false" outlineLevel="0" collapsed="false">
      <c r="A192" s="4" t="s">
        <v>209</v>
      </c>
      <c r="B192" s="4" t="s">
        <v>20</v>
      </c>
      <c r="C192" s="4" t="s">
        <v>35</v>
      </c>
      <c r="D192" s="5" t="n">
        <v>46049.8291666667</v>
      </c>
      <c r="E192" s="5" t="n">
        <v>46051.075</v>
      </c>
      <c r="F192" s="5" t="n">
        <v>46051.4375</v>
      </c>
      <c r="G192" s="5" t="n">
        <v>46051.8875</v>
      </c>
      <c r="H192" s="5" t="n">
        <v>46052.1291666667</v>
      </c>
      <c r="I192" s="4" t="n">
        <v>19</v>
      </c>
      <c r="J192" s="6" t="n">
        <v>29.9</v>
      </c>
      <c r="K192" s="6" t="n">
        <v>8.7</v>
      </c>
      <c r="L192" s="6" t="n">
        <v>10.8</v>
      </c>
      <c r="M192" s="6" t="n">
        <v>5.8</v>
      </c>
      <c r="N192" s="6" t="n">
        <v>55.2</v>
      </c>
    </row>
    <row r="193" customFormat="false" ht="15" hidden="false" customHeight="false" outlineLevel="0" collapsed="false">
      <c r="A193" s="4" t="s">
        <v>210</v>
      </c>
      <c r="B193" s="4" t="s">
        <v>20</v>
      </c>
      <c r="C193" s="4" t="s">
        <v>18</v>
      </c>
      <c r="D193" s="5" t="n">
        <v>46067.7909722222</v>
      </c>
      <c r="E193" s="5" t="n">
        <v>46068.9159722222</v>
      </c>
      <c r="F193" s="5" t="n">
        <v>46069.0701388889</v>
      </c>
      <c r="G193" s="5" t="n">
        <v>46069.3618055556</v>
      </c>
      <c r="H193" s="5" t="n">
        <v>46069.5118055556</v>
      </c>
      <c r="I193" s="4" t="n">
        <v>18</v>
      </c>
      <c r="J193" s="6" t="n">
        <v>27</v>
      </c>
      <c r="K193" s="6" t="n">
        <v>3.7</v>
      </c>
      <c r="L193" s="6" t="n">
        <v>7</v>
      </c>
      <c r="M193" s="6" t="n">
        <v>3.6</v>
      </c>
      <c r="N193" s="6" t="n">
        <v>41.3</v>
      </c>
    </row>
    <row r="194" customFormat="false" ht="15" hidden="false" customHeight="false" outlineLevel="0" collapsed="false">
      <c r="A194" s="4" t="s">
        <v>211</v>
      </c>
      <c r="B194" s="4" t="s">
        <v>24</v>
      </c>
      <c r="C194" s="4" t="s">
        <v>35</v>
      </c>
      <c r="D194" s="5" t="n">
        <v>46087.7506944445</v>
      </c>
      <c r="E194" s="5" t="n">
        <v>46088.7340277778</v>
      </c>
      <c r="F194" s="5" t="n">
        <v>46089.0548611111</v>
      </c>
      <c r="G194" s="5" t="n">
        <v>46089.3923611111</v>
      </c>
      <c r="H194" s="5" t="n">
        <v>46089.7631944444</v>
      </c>
      <c r="I194" s="4" t="n">
        <v>18</v>
      </c>
      <c r="J194" s="6" t="n">
        <v>23.6</v>
      </c>
      <c r="K194" s="6" t="n">
        <v>7.7</v>
      </c>
      <c r="L194" s="6" t="n">
        <v>8.1</v>
      </c>
      <c r="M194" s="6" t="n">
        <v>8.9</v>
      </c>
      <c r="N194" s="6" t="n">
        <v>48.3</v>
      </c>
    </row>
    <row r="195" customFormat="false" ht="15" hidden="false" customHeight="false" outlineLevel="0" collapsed="false">
      <c r="A195" s="4" t="s">
        <v>212</v>
      </c>
      <c r="B195" s="4" t="s">
        <v>20</v>
      </c>
      <c r="C195" s="4" t="s">
        <v>35</v>
      </c>
      <c r="D195" s="5" t="n">
        <v>46043.5729166667</v>
      </c>
      <c r="E195" s="5" t="n">
        <v>46043.98125</v>
      </c>
      <c r="F195" s="5" t="n">
        <v>46044.2854166667</v>
      </c>
      <c r="G195" s="5" t="n">
        <v>46044.7645833333</v>
      </c>
      <c r="H195" s="5" t="n">
        <v>46045.0895833333</v>
      </c>
      <c r="I195" s="4" t="n">
        <v>13</v>
      </c>
      <c r="J195" s="6" t="n">
        <v>9.8</v>
      </c>
      <c r="K195" s="6" t="n">
        <v>7.3</v>
      </c>
      <c r="L195" s="6" t="n">
        <v>11.5</v>
      </c>
      <c r="M195" s="6" t="n">
        <v>7.8</v>
      </c>
      <c r="N195" s="6" t="n">
        <v>36.4</v>
      </c>
    </row>
    <row r="196" customFormat="false" ht="15" hidden="false" customHeight="false" outlineLevel="0" collapsed="false">
      <c r="A196" s="4" t="s">
        <v>213</v>
      </c>
      <c r="B196" s="4" t="s">
        <v>20</v>
      </c>
      <c r="C196" s="4" t="s">
        <v>53</v>
      </c>
      <c r="D196" s="5" t="n">
        <v>46191.3951388889</v>
      </c>
      <c r="E196" s="5" t="n">
        <v>46191.6493055556</v>
      </c>
      <c r="F196" s="5" t="n">
        <v>46191.8743055556</v>
      </c>
      <c r="G196" s="5" t="n">
        <v>46192.4034722222</v>
      </c>
      <c r="H196" s="5" t="n">
        <v>46192.7159722222</v>
      </c>
      <c r="I196" s="4" t="n">
        <v>9</v>
      </c>
      <c r="J196" s="6" t="n">
        <v>6.1</v>
      </c>
      <c r="K196" s="6" t="n">
        <v>5.4</v>
      </c>
      <c r="L196" s="6" t="n">
        <v>12.7</v>
      </c>
      <c r="M196" s="6" t="n">
        <v>7.5</v>
      </c>
      <c r="N196" s="6" t="n">
        <v>31.7</v>
      </c>
    </row>
    <row r="197" customFormat="false" ht="15" hidden="false" customHeight="false" outlineLevel="0" collapsed="false">
      <c r="A197" s="4" t="s">
        <v>214</v>
      </c>
      <c r="B197" s="4" t="s">
        <v>17</v>
      </c>
      <c r="C197" s="4" t="s">
        <v>18</v>
      </c>
      <c r="D197" s="5" t="n">
        <v>46060.6236111111</v>
      </c>
      <c r="E197" s="5" t="n">
        <v>46061.8194444445</v>
      </c>
      <c r="F197" s="5" t="n">
        <v>46062.2486111111</v>
      </c>
      <c r="G197" s="5" t="n">
        <v>46062.6111111111</v>
      </c>
      <c r="H197" s="5" t="n">
        <v>46062.7819444445</v>
      </c>
      <c r="I197" s="4" t="n">
        <v>14</v>
      </c>
      <c r="J197" s="6" t="n">
        <v>28.7</v>
      </c>
      <c r="K197" s="6" t="n">
        <v>10.3</v>
      </c>
      <c r="L197" s="6" t="n">
        <v>8.7</v>
      </c>
      <c r="M197" s="6" t="n">
        <v>4.1</v>
      </c>
      <c r="N197" s="6" t="n">
        <v>51.8</v>
      </c>
    </row>
    <row r="198" customFormat="false" ht="15" hidden="false" customHeight="false" outlineLevel="0" collapsed="false">
      <c r="A198" s="4" t="s">
        <v>215</v>
      </c>
      <c r="B198" s="4" t="s">
        <v>20</v>
      </c>
      <c r="C198" s="4" t="s">
        <v>53</v>
      </c>
      <c r="D198" s="5" t="n">
        <v>46084.5645833333</v>
      </c>
      <c r="E198" s="5" t="n">
        <v>46085.03125</v>
      </c>
      <c r="F198" s="5" t="n">
        <v>46085.46875</v>
      </c>
      <c r="G198" s="5" t="n">
        <v>46085.7104166667</v>
      </c>
      <c r="H198" s="5" t="n">
        <v>46085.9770833333</v>
      </c>
      <c r="I198" s="4" t="n">
        <v>13</v>
      </c>
      <c r="J198" s="6" t="n">
        <v>11.2</v>
      </c>
      <c r="K198" s="6" t="n">
        <v>10.5</v>
      </c>
      <c r="L198" s="6" t="n">
        <v>5.8</v>
      </c>
      <c r="M198" s="6" t="n">
        <v>6.4</v>
      </c>
      <c r="N198" s="6" t="n">
        <v>33.9</v>
      </c>
    </row>
    <row r="199" customFormat="false" ht="15" hidden="false" customHeight="false" outlineLevel="0" collapsed="false">
      <c r="A199" s="4" t="s">
        <v>216</v>
      </c>
      <c r="B199" s="4" t="s">
        <v>17</v>
      </c>
      <c r="C199" s="4" t="s">
        <v>18</v>
      </c>
      <c r="D199" s="5" t="n">
        <v>46104.6701388889</v>
      </c>
      <c r="E199" s="5" t="n">
        <v>46105.7118055556</v>
      </c>
      <c r="F199" s="5" t="n">
        <v>46105.8659722222</v>
      </c>
      <c r="G199" s="5" t="n">
        <v>46106.4243055556</v>
      </c>
      <c r="H199" s="5" t="n">
        <v>46106.5534722222</v>
      </c>
      <c r="I199" s="4" t="n">
        <v>16</v>
      </c>
      <c r="J199" s="6" t="n">
        <v>25</v>
      </c>
      <c r="K199" s="6" t="n">
        <v>3.7</v>
      </c>
      <c r="L199" s="6" t="n">
        <v>13.4</v>
      </c>
      <c r="M199" s="6" t="n">
        <v>3.1</v>
      </c>
      <c r="N199" s="6" t="n">
        <v>45.2</v>
      </c>
    </row>
    <row r="200" customFormat="false" ht="15" hidden="false" customHeight="false" outlineLevel="0" collapsed="false">
      <c r="A200" s="4" t="s">
        <v>217</v>
      </c>
      <c r="B200" s="4" t="s">
        <v>17</v>
      </c>
      <c r="C200" s="4" t="s">
        <v>35</v>
      </c>
      <c r="D200" s="5" t="n">
        <v>46181.5826388889</v>
      </c>
      <c r="E200" s="5" t="n">
        <v>46181.9368055556</v>
      </c>
      <c r="F200" s="5" t="n">
        <v>46182.3659722222</v>
      </c>
      <c r="G200" s="5" t="n">
        <v>46182.5034722222</v>
      </c>
      <c r="H200" s="5" t="n">
        <v>46182.5993055556</v>
      </c>
      <c r="I200" s="4" t="n">
        <v>13</v>
      </c>
      <c r="J200" s="6" t="n">
        <v>8.5</v>
      </c>
      <c r="K200" s="6" t="n">
        <v>10.3</v>
      </c>
      <c r="L200" s="6" t="n">
        <v>3.3</v>
      </c>
      <c r="M200" s="6" t="n">
        <v>2.3</v>
      </c>
      <c r="N200" s="6" t="n">
        <v>24.4</v>
      </c>
    </row>
    <row r="201" customFormat="false" ht="15" hidden="false" customHeight="false" outlineLevel="0" collapsed="false">
      <c r="A201" s="4" t="s">
        <v>218</v>
      </c>
      <c r="B201" s="4" t="s">
        <v>17</v>
      </c>
      <c r="C201" s="4" t="s">
        <v>18</v>
      </c>
      <c r="D201" s="5" t="n">
        <v>46193.4833333333</v>
      </c>
      <c r="E201" s="5" t="n">
        <v>46193.7875</v>
      </c>
      <c r="F201" s="5" t="n">
        <v>46194.1375</v>
      </c>
      <c r="G201" s="5" t="n">
        <v>46194.4916666667</v>
      </c>
      <c r="H201" s="5" t="n">
        <v>46194.7583333333</v>
      </c>
      <c r="I201" s="4" t="n">
        <v>11</v>
      </c>
      <c r="J201" s="6" t="n">
        <v>7.3</v>
      </c>
      <c r="K201" s="6" t="n">
        <v>8.4</v>
      </c>
      <c r="L201" s="6" t="n">
        <v>8.5</v>
      </c>
      <c r="M201" s="6" t="n">
        <v>6.4</v>
      </c>
      <c r="N201" s="6" t="n">
        <v>30.6</v>
      </c>
    </row>
    <row r="202" customFormat="false" ht="15" hidden="false" customHeight="false" outlineLevel="0" collapsed="false">
      <c r="A202" s="4" t="s">
        <v>219</v>
      </c>
      <c r="B202" s="4" t="s">
        <v>20</v>
      </c>
      <c r="C202" s="4" t="s">
        <v>53</v>
      </c>
      <c r="D202" s="5" t="n">
        <v>46150.5354166667</v>
      </c>
      <c r="E202" s="5" t="n">
        <v>46150.93125</v>
      </c>
      <c r="F202" s="5" t="n">
        <v>46151.1395833333</v>
      </c>
      <c r="G202" s="5" t="n">
        <v>46151.2979166667</v>
      </c>
      <c r="H202" s="5" t="n">
        <v>46151.3979166667</v>
      </c>
      <c r="I202" s="4" t="n">
        <v>12</v>
      </c>
      <c r="J202" s="6" t="n">
        <v>9.5</v>
      </c>
      <c r="K202" s="6" t="n">
        <v>5</v>
      </c>
      <c r="L202" s="6" t="n">
        <v>3.8</v>
      </c>
      <c r="M202" s="6" t="n">
        <v>2.4</v>
      </c>
      <c r="N202" s="6" t="n">
        <v>20.7</v>
      </c>
    </row>
    <row r="203" customFormat="false" ht="15" hidden="false" customHeight="false" outlineLevel="0" collapsed="false">
      <c r="A203" s="4" t="s">
        <v>220</v>
      </c>
      <c r="B203" s="4" t="s">
        <v>20</v>
      </c>
      <c r="C203" s="4" t="s">
        <v>18</v>
      </c>
      <c r="D203" s="5" t="n">
        <v>46079.5479166667</v>
      </c>
      <c r="E203" s="5" t="n">
        <v>46079.81875</v>
      </c>
      <c r="F203" s="5" t="n">
        <v>46080.2020833333</v>
      </c>
      <c r="G203" s="5" t="n">
        <v>46080.6645833333</v>
      </c>
      <c r="H203" s="5" t="n">
        <v>46080.9979166667</v>
      </c>
      <c r="I203" s="4" t="n">
        <v>13</v>
      </c>
      <c r="J203" s="6" t="n">
        <v>6.5</v>
      </c>
      <c r="K203" s="6" t="n">
        <v>9.2</v>
      </c>
      <c r="L203" s="6" t="n">
        <v>11.1</v>
      </c>
      <c r="M203" s="6" t="n">
        <v>8</v>
      </c>
      <c r="N203" s="6" t="n">
        <v>34.8</v>
      </c>
    </row>
    <row r="204" customFormat="false" ht="15" hidden="false" customHeight="false" outlineLevel="0" collapsed="false">
      <c r="A204" s="4" t="s">
        <v>221</v>
      </c>
      <c r="B204" s="4" t="s">
        <v>24</v>
      </c>
      <c r="C204" s="4" t="s">
        <v>18</v>
      </c>
      <c r="D204" s="5" t="n">
        <v>46121.6291666667</v>
      </c>
      <c r="E204" s="5" t="n">
        <v>46122.5958333333</v>
      </c>
      <c r="F204" s="5" t="n">
        <v>46122.875</v>
      </c>
      <c r="G204" s="5" t="n">
        <v>46123.1208333333</v>
      </c>
      <c r="H204" s="5" t="n">
        <v>46123.275</v>
      </c>
      <c r="I204" s="4" t="n">
        <v>15</v>
      </c>
      <c r="J204" s="6" t="n">
        <v>23.2</v>
      </c>
      <c r="K204" s="6" t="n">
        <v>6.7</v>
      </c>
      <c r="L204" s="6" t="n">
        <v>5.9</v>
      </c>
      <c r="M204" s="6" t="n">
        <v>3.7</v>
      </c>
      <c r="N204" s="6" t="n">
        <v>39.5</v>
      </c>
    </row>
    <row r="205" customFormat="false" ht="15" hidden="false" customHeight="false" outlineLevel="0" collapsed="false">
      <c r="A205" s="4" t="s">
        <v>222</v>
      </c>
      <c r="B205" s="4" t="s">
        <v>20</v>
      </c>
      <c r="C205" s="4" t="s">
        <v>18</v>
      </c>
      <c r="D205" s="5" t="n">
        <v>46125.8097222222</v>
      </c>
      <c r="E205" s="5" t="n">
        <v>46126.7472222222</v>
      </c>
      <c r="F205" s="5" t="n">
        <v>46127.1930555556</v>
      </c>
      <c r="G205" s="5" t="n">
        <v>46127.3930555556</v>
      </c>
      <c r="H205" s="5" t="n">
        <v>46127.5722222222</v>
      </c>
      <c r="I205" s="4" t="n">
        <v>19</v>
      </c>
      <c r="J205" s="6" t="n">
        <v>22.5</v>
      </c>
      <c r="K205" s="6" t="n">
        <v>10.7</v>
      </c>
      <c r="L205" s="6" t="n">
        <v>4.8</v>
      </c>
      <c r="M205" s="6" t="n">
        <v>4.3</v>
      </c>
      <c r="N205" s="6" t="n">
        <v>42.3</v>
      </c>
    </row>
    <row r="206" customFormat="false" ht="15" hidden="false" customHeight="false" outlineLevel="0" collapsed="false">
      <c r="A206" s="4" t="s">
        <v>223</v>
      </c>
      <c r="B206" s="4" t="s">
        <v>17</v>
      </c>
      <c r="C206" s="4" t="s">
        <v>18</v>
      </c>
      <c r="D206" s="5" t="n">
        <v>46067.6472222222</v>
      </c>
      <c r="E206" s="5" t="n">
        <v>46068.6763888889</v>
      </c>
      <c r="F206" s="5" t="n">
        <v>46069.1263888889</v>
      </c>
      <c r="G206" s="5" t="n">
        <v>46069.4805555556</v>
      </c>
      <c r="H206" s="5" t="n">
        <v>46069.5888888889</v>
      </c>
      <c r="I206" s="4" t="n">
        <v>15</v>
      </c>
      <c r="J206" s="6" t="n">
        <v>24.7</v>
      </c>
      <c r="K206" s="6" t="n">
        <v>10.8</v>
      </c>
      <c r="L206" s="6" t="n">
        <v>8.5</v>
      </c>
      <c r="M206" s="6" t="n">
        <v>2.6</v>
      </c>
      <c r="N206" s="6" t="n">
        <v>46.6</v>
      </c>
    </row>
    <row r="207" customFormat="false" ht="15" hidden="false" customHeight="false" outlineLevel="0" collapsed="false">
      <c r="A207" s="4" t="s">
        <v>224</v>
      </c>
      <c r="B207" s="4" t="s">
        <v>20</v>
      </c>
      <c r="C207" s="4" t="s">
        <v>18</v>
      </c>
      <c r="D207" s="5" t="n">
        <v>46088.4736111111</v>
      </c>
      <c r="E207" s="5" t="n">
        <v>46088.6569444445</v>
      </c>
      <c r="F207" s="5" t="n">
        <v>46088.8569444444</v>
      </c>
      <c r="G207" s="5" t="n">
        <v>46089.2569444445</v>
      </c>
      <c r="H207" s="5" t="n">
        <v>46089.5861111111</v>
      </c>
      <c r="I207" s="4" t="n">
        <v>11</v>
      </c>
      <c r="J207" s="6" t="n">
        <v>4.4</v>
      </c>
      <c r="K207" s="6" t="n">
        <v>4.8</v>
      </c>
      <c r="L207" s="6" t="n">
        <v>9.6</v>
      </c>
      <c r="M207" s="6" t="n">
        <v>7.9</v>
      </c>
      <c r="N207" s="6" t="n">
        <v>26.7</v>
      </c>
    </row>
    <row r="208" customFormat="false" ht="15" hidden="false" customHeight="false" outlineLevel="0" collapsed="false">
      <c r="A208" s="4" t="s">
        <v>225</v>
      </c>
      <c r="B208" s="4" t="s">
        <v>17</v>
      </c>
      <c r="C208" s="4" t="s">
        <v>18</v>
      </c>
      <c r="D208" s="5" t="n">
        <v>46029.8104166667</v>
      </c>
      <c r="E208" s="5" t="n">
        <v>46030.6979166667</v>
      </c>
      <c r="F208" s="5" t="n">
        <v>46030.8895833333</v>
      </c>
      <c r="G208" s="5" t="n">
        <v>46031.18125</v>
      </c>
      <c r="H208" s="5" t="n">
        <v>46031.38125</v>
      </c>
      <c r="I208" s="4" t="n">
        <v>19</v>
      </c>
      <c r="J208" s="6" t="n">
        <v>21.3</v>
      </c>
      <c r="K208" s="6" t="n">
        <v>4.6</v>
      </c>
      <c r="L208" s="6" t="n">
        <v>7</v>
      </c>
      <c r="M208" s="6" t="n">
        <v>4.8</v>
      </c>
      <c r="N208" s="6" t="n">
        <v>37.7</v>
      </c>
    </row>
    <row r="209" customFormat="false" ht="15" hidden="false" customHeight="false" outlineLevel="0" collapsed="false">
      <c r="A209" s="4" t="s">
        <v>226</v>
      </c>
      <c r="B209" s="4" t="s">
        <v>20</v>
      </c>
      <c r="C209" s="4" t="s">
        <v>18</v>
      </c>
      <c r="D209" s="5" t="n">
        <v>46170.4826388889</v>
      </c>
      <c r="E209" s="5" t="n">
        <v>46170.7451388889</v>
      </c>
      <c r="F209" s="5" t="n">
        <v>46170.9909722222</v>
      </c>
      <c r="G209" s="5" t="n">
        <v>46171.3243055556</v>
      </c>
      <c r="H209" s="5" t="n">
        <v>46171.5659722222</v>
      </c>
      <c r="I209" s="4" t="n">
        <v>11</v>
      </c>
      <c r="J209" s="6" t="n">
        <v>6.3</v>
      </c>
      <c r="K209" s="6" t="n">
        <v>5.9</v>
      </c>
      <c r="L209" s="6" t="n">
        <v>8</v>
      </c>
      <c r="M209" s="6" t="n">
        <v>5.8</v>
      </c>
      <c r="N209" s="6" t="n">
        <v>26</v>
      </c>
    </row>
    <row r="210" customFormat="false" ht="15" hidden="false" customHeight="false" outlineLevel="0" collapsed="false">
      <c r="A210" s="4" t="s">
        <v>227</v>
      </c>
      <c r="B210" s="4" t="s">
        <v>24</v>
      </c>
      <c r="C210" s="4" t="s">
        <v>18</v>
      </c>
      <c r="D210" s="5" t="n">
        <v>46183.4208333333</v>
      </c>
      <c r="E210" s="5" t="n">
        <v>46183.7208333333</v>
      </c>
      <c r="F210" s="5" t="n">
        <v>46184.1333333333</v>
      </c>
      <c r="G210" s="5" t="n">
        <v>46184.4125</v>
      </c>
      <c r="H210" s="5" t="n">
        <v>46184.7708333333</v>
      </c>
      <c r="I210" s="4" t="n">
        <v>10</v>
      </c>
      <c r="J210" s="6" t="n">
        <v>7.2</v>
      </c>
      <c r="K210" s="6" t="n">
        <v>9.9</v>
      </c>
      <c r="L210" s="6" t="n">
        <v>6.7</v>
      </c>
      <c r="M210" s="6" t="n">
        <v>8.6</v>
      </c>
      <c r="N210" s="6" t="n">
        <v>32.4</v>
      </c>
    </row>
    <row r="211" customFormat="false" ht="15" hidden="false" customHeight="false" outlineLevel="0" collapsed="false">
      <c r="A211" s="4" t="s">
        <v>228</v>
      </c>
      <c r="B211" s="4" t="s">
        <v>24</v>
      </c>
      <c r="C211" s="4" t="s">
        <v>18</v>
      </c>
      <c r="D211" s="5" t="n">
        <v>46157.5847222222</v>
      </c>
      <c r="E211" s="5" t="n">
        <v>46158.4388888889</v>
      </c>
      <c r="F211" s="5" t="n">
        <v>46158.5805555556</v>
      </c>
      <c r="G211" s="5" t="n">
        <v>46158.8597222222</v>
      </c>
      <c r="H211" s="5" t="n">
        <v>46159.0805555556</v>
      </c>
      <c r="I211" s="4" t="n">
        <v>14</v>
      </c>
      <c r="J211" s="6" t="n">
        <v>20.5</v>
      </c>
      <c r="K211" s="6" t="n">
        <v>3.4</v>
      </c>
      <c r="L211" s="6" t="n">
        <v>6.7</v>
      </c>
      <c r="M211" s="6" t="n">
        <v>5.3</v>
      </c>
      <c r="N211" s="6" t="n">
        <v>35.9</v>
      </c>
    </row>
    <row r="212" customFormat="false" ht="15" hidden="false" customHeight="false" outlineLevel="0" collapsed="false">
      <c r="A212" s="4" t="s">
        <v>229</v>
      </c>
      <c r="B212" s="4" t="s">
        <v>17</v>
      </c>
      <c r="C212" s="4" t="s">
        <v>18</v>
      </c>
      <c r="D212" s="5" t="n">
        <v>46158.4576388889</v>
      </c>
      <c r="E212" s="5" t="n">
        <v>46158.8284722222</v>
      </c>
      <c r="F212" s="5" t="n">
        <v>46158.9784722222</v>
      </c>
      <c r="G212" s="5" t="n">
        <v>46159.5576388889</v>
      </c>
      <c r="H212" s="5" t="n">
        <v>46159.8576388889</v>
      </c>
      <c r="I212" s="4" t="n">
        <v>10</v>
      </c>
      <c r="J212" s="6" t="n">
        <v>8.9</v>
      </c>
      <c r="K212" s="6" t="n">
        <v>3.6</v>
      </c>
      <c r="L212" s="6" t="n">
        <v>13.9</v>
      </c>
      <c r="M212" s="6" t="n">
        <v>7.2</v>
      </c>
      <c r="N212" s="6" t="n">
        <v>33.6</v>
      </c>
    </row>
    <row r="213" customFormat="false" ht="15" hidden="false" customHeight="false" outlineLevel="0" collapsed="false">
      <c r="A213" s="4" t="s">
        <v>230</v>
      </c>
      <c r="B213" s="4" t="s">
        <v>20</v>
      </c>
      <c r="C213" s="4" t="s">
        <v>18</v>
      </c>
      <c r="D213" s="5" t="n">
        <v>46157.65625</v>
      </c>
      <c r="E213" s="5" t="n">
        <v>46158.7229166667</v>
      </c>
      <c r="F213" s="5" t="n">
        <v>46159.0020833333</v>
      </c>
      <c r="G213" s="5" t="n">
        <v>46159.1354166667</v>
      </c>
      <c r="H213" s="5" t="n">
        <v>46159.3145833333</v>
      </c>
      <c r="I213" s="4" t="n">
        <v>15</v>
      </c>
      <c r="J213" s="6" t="n">
        <v>25.6</v>
      </c>
      <c r="K213" s="6" t="n">
        <v>6.7</v>
      </c>
      <c r="L213" s="6" t="n">
        <v>3.2</v>
      </c>
      <c r="M213" s="6" t="n">
        <v>4.3</v>
      </c>
      <c r="N213" s="6" t="n">
        <v>39.8</v>
      </c>
    </row>
    <row r="214" customFormat="false" ht="15" hidden="false" customHeight="false" outlineLevel="0" collapsed="false">
      <c r="A214" s="4" t="s">
        <v>231</v>
      </c>
      <c r="B214" s="4" t="s">
        <v>20</v>
      </c>
      <c r="C214" s="4" t="s">
        <v>18</v>
      </c>
      <c r="D214" s="5" t="n">
        <v>46105.8236111111</v>
      </c>
      <c r="E214" s="5" t="n">
        <v>46107.0194444444</v>
      </c>
      <c r="F214" s="5" t="n">
        <v>46107.3652777778</v>
      </c>
      <c r="G214" s="5" t="n">
        <v>46107.7652777778</v>
      </c>
      <c r="H214" s="5" t="n">
        <v>46107.9277777778</v>
      </c>
      <c r="I214" s="4" t="n">
        <v>19</v>
      </c>
      <c r="J214" s="6" t="n">
        <v>28.7</v>
      </c>
      <c r="K214" s="6" t="n">
        <v>8.3</v>
      </c>
      <c r="L214" s="6" t="n">
        <v>9.6</v>
      </c>
      <c r="M214" s="6" t="n">
        <v>3.9</v>
      </c>
      <c r="N214" s="6" t="n">
        <v>50.5</v>
      </c>
    </row>
    <row r="215" customFormat="false" ht="15" hidden="false" customHeight="false" outlineLevel="0" collapsed="false">
      <c r="A215" s="4" t="s">
        <v>232</v>
      </c>
      <c r="B215" s="4" t="s">
        <v>17</v>
      </c>
      <c r="C215" s="4" t="s">
        <v>53</v>
      </c>
      <c r="D215" s="5" t="n">
        <v>46175.6986111111</v>
      </c>
      <c r="E215" s="5" t="n">
        <v>46176.5527777778</v>
      </c>
      <c r="F215" s="5" t="n">
        <v>46176.8361111111</v>
      </c>
      <c r="G215" s="5" t="n">
        <v>46177.2027777778</v>
      </c>
      <c r="H215" s="5" t="n">
        <v>46177.4944444444</v>
      </c>
      <c r="I215" s="4" t="n">
        <v>16</v>
      </c>
      <c r="J215" s="6" t="n">
        <v>20.5</v>
      </c>
      <c r="K215" s="6" t="n">
        <v>6.8</v>
      </c>
      <c r="L215" s="6" t="n">
        <v>8.8</v>
      </c>
      <c r="M215" s="6" t="n">
        <v>7</v>
      </c>
      <c r="N215" s="6" t="n">
        <v>43.1</v>
      </c>
    </row>
    <row r="216" customFormat="false" ht="15" hidden="false" customHeight="false" outlineLevel="0" collapsed="false">
      <c r="A216" s="4" t="s">
        <v>233</v>
      </c>
      <c r="B216" s="4" t="s">
        <v>24</v>
      </c>
      <c r="C216" s="4" t="s">
        <v>18</v>
      </c>
      <c r="D216" s="5" t="n">
        <v>46201.525</v>
      </c>
      <c r="E216" s="5" t="n">
        <v>46202.0083333333</v>
      </c>
      <c r="F216" s="5" t="n">
        <v>46202.1375</v>
      </c>
      <c r="G216" s="5" t="n">
        <v>46202.2708333333</v>
      </c>
      <c r="H216" s="5" t="n">
        <v>46202.4458333333</v>
      </c>
      <c r="I216" s="4" t="n">
        <v>12</v>
      </c>
      <c r="J216" s="6" t="n">
        <v>11.6</v>
      </c>
      <c r="K216" s="6" t="n">
        <v>3.1</v>
      </c>
      <c r="L216" s="6" t="n">
        <v>3.2</v>
      </c>
      <c r="M216" s="6" t="n">
        <v>4.2</v>
      </c>
      <c r="N216" s="6" t="n">
        <v>22.1</v>
      </c>
    </row>
    <row r="217" customFormat="false" ht="15" hidden="false" customHeight="false" outlineLevel="0" collapsed="false">
      <c r="A217" s="4" t="s">
        <v>234</v>
      </c>
      <c r="B217" s="4" t="s">
        <v>20</v>
      </c>
      <c r="C217" s="4" t="s">
        <v>18</v>
      </c>
      <c r="D217" s="5" t="n">
        <v>46132.6520833333</v>
      </c>
      <c r="E217" s="5" t="n">
        <v>46133.86875</v>
      </c>
      <c r="F217" s="5" t="n">
        <v>46134.3145833333</v>
      </c>
      <c r="G217" s="5" t="n">
        <v>46134.7770833333</v>
      </c>
      <c r="H217" s="5" t="n">
        <v>46134.8770833333</v>
      </c>
      <c r="I217" s="4" t="n">
        <v>15</v>
      </c>
      <c r="J217" s="6" t="n">
        <v>29.2</v>
      </c>
      <c r="K217" s="6" t="n">
        <v>10.7</v>
      </c>
      <c r="L217" s="6" t="n">
        <v>11.1</v>
      </c>
      <c r="M217" s="6" t="n">
        <v>2.4</v>
      </c>
      <c r="N217" s="6" t="n">
        <v>53.4</v>
      </c>
    </row>
    <row r="218" customFormat="false" ht="15" hidden="false" customHeight="false" outlineLevel="0" collapsed="false">
      <c r="A218" s="4" t="s">
        <v>235</v>
      </c>
      <c r="B218" s="4" t="s">
        <v>20</v>
      </c>
      <c r="C218" s="4" t="s">
        <v>18</v>
      </c>
      <c r="D218" s="5" t="n">
        <v>46110.8958333333</v>
      </c>
      <c r="E218" s="5" t="n">
        <v>46111.95</v>
      </c>
      <c r="F218" s="5" t="n">
        <v>46112.1625</v>
      </c>
      <c r="G218" s="5" t="n">
        <v>46112.3666666667</v>
      </c>
      <c r="H218" s="5" t="n">
        <v>46112.7166666667</v>
      </c>
      <c r="I218" s="4" t="n">
        <v>21</v>
      </c>
      <c r="J218" s="6" t="n">
        <v>25.3</v>
      </c>
      <c r="K218" s="6" t="n">
        <v>5.1</v>
      </c>
      <c r="L218" s="6" t="n">
        <v>4.9</v>
      </c>
      <c r="M218" s="6" t="n">
        <v>8.4</v>
      </c>
      <c r="N218" s="6" t="n">
        <v>43.7</v>
      </c>
    </row>
    <row r="219" customFormat="false" ht="15" hidden="false" customHeight="false" outlineLevel="0" collapsed="false">
      <c r="A219" s="4" t="s">
        <v>236</v>
      </c>
      <c r="B219" s="4" t="s">
        <v>20</v>
      </c>
      <c r="C219" s="4" t="s">
        <v>18</v>
      </c>
      <c r="D219" s="5" t="n">
        <v>46201.6972222222</v>
      </c>
      <c r="E219" s="5" t="n">
        <v>46202.6388888889</v>
      </c>
      <c r="F219" s="5" t="n">
        <v>46202.9222222222</v>
      </c>
      <c r="G219" s="5" t="n">
        <v>46203.4847222222</v>
      </c>
      <c r="H219" s="5" t="n">
        <v>46203.6513888889</v>
      </c>
      <c r="I219" s="4" t="n">
        <v>16</v>
      </c>
      <c r="J219" s="6" t="n">
        <v>22.6</v>
      </c>
      <c r="K219" s="6" t="n">
        <v>6.8</v>
      </c>
      <c r="L219" s="6" t="n">
        <v>13.5</v>
      </c>
      <c r="M219" s="6" t="n">
        <v>4</v>
      </c>
      <c r="N219" s="6" t="n">
        <v>46.9</v>
      </c>
    </row>
    <row r="220" customFormat="false" ht="15" hidden="false" customHeight="false" outlineLevel="0" collapsed="false">
      <c r="A220" s="4" t="s">
        <v>237</v>
      </c>
      <c r="B220" s="4" t="s">
        <v>20</v>
      </c>
      <c r="C220" s="4" t="s">
        <v>53</v>
      </c>
      <c r="D220" s="5" t="n">
        <v>46103.78125</v>
      </c>
      <c r="E220" s="5" t="n">
        <v>46104.7020833333</v>
      </c>
      <c r="F220" s="5" t="n">
        <v>46105.0770833333</v>
      </c>
      <c r="G220" s="5" t="n">
        <v>46105.3479166667</v>
      </c>
      <c r="H220" s="5" t="n">
        <v>46105.53125</v>
      </c>
      <c r="I220" s="4" t="n">
        <v>18</v>
      </c>
      <c r="J220" s="6" t="n">
        <v>22.1</v>
      </c>
      <c r="K220" s="6" t="n">
        <v>9</v>
      </c>
      <c r="L220" s="6" t="n">
        <v>6.5</v>
      </c>
      <c r="M220" s="6" t="n">
        <v>4.4</v>
      </c>
      <c r="N220" s="6" t="n">
        <v>42</v>
      </c>
    </row>
    <row r="221" customFormat="false" ht="15" hidden="false" customHeight="false" outlineLevel="0" collapsed="false">
      <c r="A221" s="4" t="s">
        <v>238</v>
      </c>
      <c r="B221" s="4" t="s">
        <v>24</v>
      </c>
      <c r="C221" s="4" t="s">
        <v>35</v>
      </c>
      <c r="D221" s="5" t="n">
        <v>46097.525</v>
      </c>
      <c r="E221" s="5" t="n">
        <v>46097.9166666667</v>
      </c>
      <c r="F221" s="5" t="n">
        <v>46098.1583333333</v>
      </c>
      <c r="G221" s="5" t="n">
        <v>46098.7333333333</v>
      </c>
      <c r="H221" s="5" t="n">
        <v>46099.0541666667</v>
      </c>
      <c r="I221" s="4" t="n">
        <v>12</v>
      </c>
      <c r="J221" s="6" t="n">
        <v>9.4</v>
      </c>
      <c r="K221" s="6" t="n">
        <v>5.8</v>
      </c>
      <c r="L221" s="6" t="n">
        <v>13.8</v>
      </c>
      <c r="M221" s="6" t="n">
        <v>7.7</v>
      </c>
      <c r="N221" s="6" t="n">
        <v>36.7</v>
      </c>
    </row>
    <row r="222" customFormat="false" ht="15" hidden="false" customHeight="false" outlineLevel="0" collapsed="false">
      <c r="A222" s="4" t="s">
        <v>239</v>
      </c>
      <c r="B222" s="4" t="s">
        <v>24</v>
      </c>
      <c r="C222" s="4" t="s">
        <v>35</v>
      </c>
      <c r="D222" s="5" t="n">
        <v>46101.3645833333</v>
      </c>
      <c r="E222" s="5" t="n">
        <v>46101.46875</v>
      </c>
      <c r="F222" s="5" t="n">
        <v>46101.9354166667</v>
      </c>
      <c r="G222" s="5" t="n">
        <v>46102.3604166667</v>
      </c>
      <c r="H222" s="5" t="n">
        <v>46102.6604166667</v>
      </c>
      <c r="I222" s="4" t="n">
        <v>8</v>
      </c>
      <c r="J222" s="6" t="n">
        <v>2.5</v>
      </c>
      <c r="K222" s="6" t="n">
        <v>11.2</v>
      </c>
      <c r="L222" s="6" t="n">
        <v>10.2</v>
      </c>
      <c r="M222" s="6" t="n">
        <v>7.2</v>
      </c>
      <c r="N222" s="6" t="n">
        <v>31.1</v>
      </c>
    </row>
    <row r="223" customFormat="false" ht="15" hidden="false" customHeight="false" outlineLevel="0" collapsed="false">
      <c r="A223" s="4" t="s">
        <v>240</v>
      </c>
      <c r="B223" s="4" t="s">
        <v>20</v>
      </c>
      <c r="C223" s="4" t="s">
        <v>35</v>
      </c>
      <c r="D223" s="5" t="n">
        <v>46096.8638888889</v>
      </c>
      <c r="E223" s="5" t="n">
        <v>46097.8097222222</v>
      </c>
      <c r="F223" s="5" t="n">
        <v>46097.9388888889</v>
      </c>
      <c r="G223" s="5" t="n">
        <v>46098.4013888889</v>
      </c>
      <c r="H223" s="5" t="n">
        <v>46098.5555555556</v>
      </c>
      <c r="I223" s="4" t="n">
        <v>20</v>
      </c>
      <c r="J223" s="6" t="n">
        <v>22.7</v>
      </c>
      <c r="K223" s="6" t="n">
        <v>3.1</v>
      </c>
      <c r="L223" s="6" t="n">
        <v>11.1</v>
      </c>
      <c r="M223" s="6" t="n">
        <v>3.7</v>
      </c>
      <c r="N223" s="6" t="n">
        <v>40.6</v>
      </c>
    </row>
    <row r="224" customFormat="false" ht="15" hidden="false" customHeight="false" outlineLevel="0" collapsed="false">
      <c r="A224" s="4" t="s">
        <v>241</v>
      </c>
      <c r="B224" s="4" t="s">
        <v>20</v>
      </c>
      <c r="C224" s="4" t="s">
        <v>53</v>
      </c>
      <c r="D224" s="5" t="n">
        <v>46084.66875</v>
      </c>
      <c r="E224" s="5" t="n">
        <v>46085.54375</v>
      </c>
      <c r="F224" s="5" t="n">
        <v>46085.7645833333</v>
      </c>
      <c r="G224" s="5" t="n">
        <v>46086.10625</v>
      </c>
      <c r="H224" s="5" t="n">
        <v>46086.3895833333</v>
      </c>
      <c r="I224" s="4" t="n">
        <v>16</v>
      </c>
      <c r="J224" s="6" t="n">
        <v>21</v>
      </c>
      <c r="K224" s="6" t="n">
        <v>5.3</v>
      </c>
      <c r="L224" s="6" t="n">
        <v>8.2</v>
      </c>
      <c r="M224" s="6" t="n">
        <v>6.8</v>
      </c>
      <c r="N224" s="6" t="n">
        <v>41.3</v>
      </c>
    </row>
    <row r="225" customFormat="false" ht="15" hidden="false" customHeight="false" outlineLevel="0" collapsed="false">
      <c r="A225" s="4" t="s">
        <v>242</v>
      </c>
      <c r="B225" s="4" t="s">
        <v>20</v>
      </c>
      <c r="C225" s="4" t="s">
        <v>53</v>
      </c>
      <c r="D225" s="5" t="n">
        <v>46067.6243055556</v>
      </c>
      <c r="E225" s="5" t="n">
        <v>46068.8243055556</v>
      </c>
      <c r="F225" s="5" t="n">
        <v>46069.1076388889</v>
      </c>
      <c r="G225" s="5" t="n">
        <v>46069.5326388889</v>
      </c>
      <c r="H225" s="5" t="n">
        <v>46069.8368055556</v>
      </c>
      <c r="I225" s="4" t="n">
        <v>14</v>
      </c>
      <c r="J225" s="6" t="n">
        <v>28.8</v>
      </c>
      <c r="K225" s="6" t="n">
        <v>6.8</v>
      </c>
      <c r="L225" s="6" t="n">
        <v>10.2</v>
      </c>
      <c r="M225" s="6" t="n">
        <v>7.3</v>
      </c>
      <c r="N225" s="6" t="n">
        <v>53.1</v>
      </c>
    </row>
    <row r="226" customFormat="false" ht="15" hidden="false" customHeight="false" outlineLevel="0" collapsed="false">
      <c r="A226" s="4" t="s">
        <v>243</v>
      </c>
      <c r="B226" s="4" t="s">
        <v>20</v>
      </c>
      <c r="C226" s="4" t="s">
        <v>18</v>
      </c>
      <c r="D226" s="5" t="n">
        <v>46042.8368055556</v>
      </c>
      <c r="E226" s="5" t="n">
        <v>46043.9409722222</v>
      </c>
      <c r="F226" s="5" t="n">
        <v>46044.1201388889</v>
      </c>
      <c r="G226" s="5" t="n">
        <v>46044.5826388889</v>
      </c>
      <c r="H226" s="5" t="n">
        <v>46044.9159722222</v>
      </c>
      <c r="I226" s="4" t="n">
        <v>20</v>
      </c>
      <c r="J226" s="6" t="n">
        <v>26.5</v>
      </c>
      <c r="K226" s="6" t="n">
        <v>4.3</v>
      </c>
      <c r="L226" s="6" t="n">
        <v>11.1</v>
      </c>
      <c r="M226" s="6" t="n">
        <v>8</v>
      </c>
      <c r="N226" s="6" t="n">
        <v>49.9</v>
      </c>
    </row>
    <row r="227" customFormat="false" ht="15" hidden="false" customHeight="false" outlineLevel="0" collapsed="false">
      <c r="A227" s="4" t="s">
        <v>244</v>
      </c>
      <c r="B227" s="4" t="s">
        <v>20</v>
      </c>
      <c r="C227" s="4" t="s">
        <v>53</v>
      </c>
      <c r="D227" s="5" t="n">
        <v>46133.7993055556</v>
      </c>
      <c r="E227" s="5" t="n">
        <v>46135.0201388889</v>
      </c>
      <c r="F227" s="5" t="n">
        <v>46135.1201388889</v>
      </c>
      <c r="G227" s="5" t="n">
        <v>46135.6284722222</v>
      </c>
      <c r="H227" s="5" t="n">
        <v>46135.9409722222</v>
      </c>
      <c r="I227" s="4" t="n">
        <v>19</v>
      </c>
      <c r="J227" s="6" t="n">
        <v>29.3</v>
      </c>
      <c r="K227" s="6" t="n">
        <v>2.4</v>
      </c>
      <c r="L227" s="6" t="n">
        <v>12.2</v>
      </c>
      <c r="M227" s="6" t="n">
        <v>7.5</v>
      </c>
      <c r="N227" s="6" t="n">
        <v>51.4</v>
      </c>
    </row>
    <row r="228" customFormat="false" ht="15" hidden="false" customHeight="false" outlineLevel="0" collapsed="false">
      <c r="A228" s="4" t="s">
        <v>245</v>
      </c>
      <c r="B228" s="4" t="s">
        <v>20</v>
      </c>
      <c r="C228" s="4" t="s">
        <v>35</v>
      </c>
      <c r="D228" s="5" t="n">
        <v>46101.7916666667</v>
      </c>
      <c r="E228" s="5" t="n">
        <v>46102.75</v>
      </c>
      <c r="F228" s="5" t="n">
        <v>46103.0833333333</v>
      </c>
      <c r="G228" s="5" t="n">
        <v>46103.6333333333</v>
      </c>
      <c r="H228" s="5" t="n">
        <v>46103.8125</v>
      </c>
      <c r="I228" s="4" t="n">
        <v>19</v>
      </c>
      <c r="J228" s="6" t="n">
        <v>23</v>
      </c>
      <c r="K228" s="6" t="n">
        <v>8</v>
      </c>
      <c r="L228" s="6" t="n">
        <v>13.2</v>
      </c>
      <c r="M228" s="6" t="n">
        <v>4.3</v>
      </c>
      <c r="N228" s="6" t="n">
        <v>48.5</v>
      </c>
    </row>
    <row r="229" customFormat="false" ht="15" hidden="false" customHeight="false" outlineLevel="0" collapsed="false">
      <c r="A229" s="4" t="s">
        <v>246</v>
      </c>
      <c r="B229" s="4" t="s">
        <v>17</v>
      </c>
      <c r="C229" s="4" t="s">
        <v>18</v>
      </c>
      <c r="D229" s="5" t="n">
        <v>46161.6305555556</v>
      </c>
      <c r="E229" s="5" t="n">
        <v>46162.8180555556</v>
      </c>
      <c r="F229" s="5" t="n">
        <v>46163.0972222222</v>
      </c>
      <c r="G229" s="5" t="n">
        <v>46163.3097222222</v>
      </c>
      <c r="H229" s="5" t="n">
        <v>46163.4263888889</v>
      </c>
      <c r="I229" s="4" t="n">
        <v>15</v>
      </c>
      <c r="J229" s="6" t="n">
        <v>28.5</v>
      </c>
      <c r="K229" s="6" t="n">
        <v>6.7</v>
      </c>
      <c r="L229" s="6" t="n">
        <v>5.1</v>
      </c>
      <c r="M229" s="6" t="n">
        <v>2.8</v>
      </c>
      <c r="N229" s="6" t="n">
        <v>43.1</v>
      </c>
    </row>
    <row r="230" customFormat="false" ht="15" hidden="false" customHeight="false" outlineLevel="0" collapsed="false">
      <c r="A230" s="4" t="s">
        <v>247</v>
      </c>
      <c r="B230" s="4" t="s">
        <v>20</v>
      </c>
      <c r="C230" s="4" t="s">
        <v>18</v>
      </c>
      <c r="D230" s="5" t="n">
        <v>46092.75</v>
      </c>
      <c r="E230" s="5" t="n">
        <v>46093.8916666667</v>
      </c>
      <c r="F230" s="5" t="n">
        <v>46094.3041666667</v>
      </c>
      <c r="G230" s="5" t="n">
        <v>46094.6875</v>
      </c>
      <c r="H230" s="5" t="n">
        <v>46094.9916666667</v>
      </c>
      <c r="I230" s="4" t="n">
        <v>18</v>
      </c>
      <c r="J230" s="6" t="n">
        <v>27.4</v>
      </c>
      <c r="K230" s="6" t="n">
        <v>9.9</v>
      </c>
      <c r="L230" s="6" t="n">
        <v>9.2</v>
      </c>
      <c r="M230" s="6" t="n">
        <v>7.3</v>
      </c>
      <c r="N230" s="6" t="n">
        <v>53.8</v>
      </c>
    </row>
    <row r="231" customFormat="false" ht="15" hidden="false" customHeight="false" outlineLevel="0" collapsed="false">
      <c r="A231" s="4" t="s">
        <v>248</v>
      </c>
      <c r="B231" s="4" t="s">
        <v>20</v>
      </c>
      <c r="C231" s="4" t="s">
        <v>35</v>
      </c>
      <c r="D231" s="5" t="n">
        <v>46130.8138888889</v>
      </c>
      <c r="E231" s="5" t="n">
        <v>46131.7847222222</v>
      </c>
      <c r="F231" s="5" t="n">
        <v>46132.0347222222</v>
      </c>
      <c r="G231" s="5" t="n">
        <v>46132.2013888889</v>
      </c>
      <c r="H231" s="5" t="n">
        <v>46132.5722222222</v>
      </c>
      <c r="I231" s="4" t="n">
        <v>19</v>
      </c>
      <c r="J231" s="6" t="n">
        <v>23.3</v>
      </c>
      <c r="K231" s="6" t="n">
        <v>6</v>
      </c>
      <c r="L231" s="6" t="n">
        <v>4</v>
      </c>
      <c r="M231" s="6" t="n">
        <v>8.9</v>
      </c>
      <c r="N231" s="6" t="n">
        <v>42.2</v>
      </c>
    </row>
    <row r="232" customFormat="false" ht="15" hidden="false" customHeight="false" outlineLevel="0" collapsed="false">
      <c r="A232" s="4" t="s">
        <v>249</v>
      </c>
      <c r="B232" s="4" t="s">
        <v>17</v>
      </c>
      <c r="C232" s="4" t="s">
        <v>53</v>
      </c>
      <c r="D232" s="5" t="n">
        <v>46028.5104166667</v>
      </c>
      <c r="E232" s="5" t="n">
        <v>46028.8270833333</v>
      </c>
      <c r="F232" s="5" t="n">
        <v>46029.0229166667</v>
      </c>
      <c r="G232" s="5" t="n">
        <v>46029.2979166667</v>
      </c>
      <c r="H232" s="5" t="n">
        <v>46029.5520833333</v>
      </c>
      <c r="I232" s="4" t="n">
        <v>12</v>
      </c>
      <c r="J232" s="6" t="n">
        <v>7.6</v>
      </c>
      <c r="K232" s="6" t="n">
        <v>4.7</v>
      </c>
      <c r="L232" s="6" t="n">
        <v>6.6</v>
      </c>
      <c r="M232" s="6" t="n">
        <v>6.1</v>
      </c>
      <c r="N232" s="6" t="n">
        <v>25</v>
      </c>
    </row>
    <row r="233" customFormat="false" ht="15" hidden="false" customHeight="false" outlineLevel="0" collapsed="false">
      <c r="A233" s="4" t="s">
        <v>250</v>
      </c>
      <c r="B233" s="4" t="s">
        <v>17</v>
      </c>
      <c r="C233" s="4" t="s">
        <v>18</v>
      </c>
      <c r="D233" s="5" t="n">
        <v>46119.7104166667</v>
      </c>
      <c r="E233" s="5" t="n">
        <v>46120.8229166667</v>
      </c>
      <c r="F233" s="5" t="n">
        <v>46121.1020833333</v>
      </c>
      <c r="G233" s="5" t="n">
        <v>46121.3020833333</v>
      </c>
      <c r="H233" s="5" t="n">
        <v>46121.5854166667</v>
      </c>
      <c r="I233" s="4" t="n">
        <v>17</v>
      </c>
      <c r="J233" s="6" t="n">
        <v>26.7</v>
      </c>
      <c r="K233" s="6" t="n">
        <v>6.7</v>
      </c>
      <c r="L233" s="6" t="n">
        <v>4.8</v>
      </c>
      <c r="M233" s="6" t="n">
        <v>6.8</v>
      </c>
      <c r="N233" s="6" t="n">
        <v>45</v>
      </c>
    </row>
    <row r="234" customFormat="false" ht="15" hidden="false" customHeight="false" outlineLevel="0" collapsed="false">
      <c r="A234" s="4" t="s">
        <v>251</v>
      </c>
      <c r="B234" s="4" t="s">
        <v>24</v>
      </c>
      <c r="C234" s="4" t="s">
        <v>35</v>
      </c>
      <c r="D234" s="5" t="n">
        <v>46106.7361111111</v>
      </c>
      <c r="E234" s="5" t="n">
        <v>46107.9527777778</v>
      </c>
      <c r="F234" s="5" t="n">
        <v>46108.1611111111</v>
      </c>
      <c r="G234" s="5" t="n">
        <v>46108.5694444445</v>
      </c>
      <c r="H234" s="5" t="n">
        <v>46108.7152777778</v>
      </c>
      <c r="I234" s="4" t="n">
        <v>17</v>
      </c>
      <c r="J234" s="6" t="n">
        <v>29.2</v>
      </c>
      <c r="K234" s="6" t="n">
        <v>5</v>
      </c>
      <c r="L234" s="6" t="n">
        <v>9.8</v>
      </c>
      <c r="M234" s="6" t="n">
        <v>3.5</v>
      </c>
      <c r="N234" s="6" t="n">
        <v>47.5</v>
      </c>
    </row>
    <row r="235" customFormat="false" ht="15" hidden="false" customHeight="false" outlineLevel="0" collapsed="false">
      <c r="A235" s="4" t="s">
        <v>252</v>
      </c>
      <c r="B235" s="4" t="s">
        <v>20</v>
      </c>
      <c r="C235" s="4" t="s">
        <v>18</v>
      </c>
      <c r="D235" s="5" t="n">
        <v>46182.5722222222</v>
      </c>
      <c r="E235" s="5" t="n">
        <v>46182.9222222222</v>
      </c>
      <c r="F235" s="5" t="n">
        <v>46183.2013888889</v>
      </c>
      <c r="G235" s="5" t="n">
        <v>46183.5722222222</v>
      </c>
      <c r="H235" s="5" t="n">
        <v>46183.8472222222</v>
      </c>
      <c r="I235" s="4" t="n">
        <v>13</v>
      </c>
      <c r="J235" s="6" t="n">
        <v>8.4</v>
      </c>
      <c r="K235" s="6" t="n">
        <v>6.7</v>
      </c>
      <c r="L235" s="6" t="n">
        <v>8.9</v>
      </c>
      <c r="M235" s="6" t="n">
        <v>6.6</v>
      </c>
      <c r="N235" s="6" t="n">
        <v>30.6</v>
      </c>
    </row>
    <row r="236" customFormat="false" ht="15" hidden="false" customHeight="false" outlineLevel="0" collapsed="false">
      <c r="A236" s="4" t="s">
        <v>253</v>
      </c>
      <c r="B236" s="4" t="s">
        <v>20</v>
      </c>
      <c r="C236" s="4" t="s">
        <v>18</v>
      </c>
      <c r="D236" s="5" t="n">
        <v>46179.7951388889</v>
      </c>
      <c r="E236" s="5" t="n">
        <v>46180.8493055556</v>
      </c>
      <c r="F236" s="5" t="n">
        <v>46181.1534722222</v>
      </c>
      <c r="G236" s="5" t="n">
        <v>46181.4451388889</v>
      </c>
      <c r="H236" s="5" t="n">
        <v>46181.7951388889</v>
      </c>
      <c r="I236" s="4" t="n">
        <v>19</v>
      </c>
      <c r="J236" s="6" t="n">
        <v>25.3</v>
      </c>
      <c r="K236" s="6" t="n">
        <v>7.3</v>
      </c>
      <c r="L236" s="6" t="n">
        <v>7</v>
      </c>
      <c r="M236" s="6" t="n">
        <v>8.4</v>
      </c>
      <c r="N236" s="6" t="n">
        <v>48</v>
      </c>
    </row>
    <row r="237" customFormat="false" ht="15" hidden="false" customHeight="false" outlineLevel="0" collapsed="false">
      <c r="A237" s="4" t="s">
        <v>254</v>
      </c>
      <c r="B237" s="4" t="s">
        <v>20</v>
      </c>
      <c r="C237" s="4" t="s">
        <v>35</v>
      </c>
      <c r="D237" s="5" t="n">
        <v>46156.4819444444</v>
      </c>
      <c r="E237" s="5" t="n">
        <v>46156.6986111111</v>
      </c>
      <c r="F237" s="5" t="n">
        <v>46156.9194444444</v>
      </c>
      <c r="G237" s="5" t="n">
        <v>46157.2819444445</v>
      </c>
      <c r="H237" s="5" t="n">
        <v>46157.3986111111</v>
      </c>
      <c r="I237" s="4" t="n">
        <v>11</v>
      </c>
      <c r="J237" s="6" t="n">
        <v>5.2</v>
      </c>
      <c r="K237" s="6" t="n">
        <v>5.3</v>
      </c>
      <c r="L237" s="6" t="n">
        <v>8.7</v>
      </c>
      <c r="M237" s="6" t="n">
        <v>2.8</v>
      </c>
      <c r="N237" s="6" t="n">
        <v>22</v>
      </c>
    </row>
    <row r="238" customFormat="false" ht="15" hidden="false" customHeight="false" outlineLevel="0" collapsed="false">
      <c r="A238" s="4" t="s">
        <v>255</v>
      </c>
      <c r="B238" s="4" t="s">
        <v>20</v>
      </c>
      <c r="C238" s="4" t="s">
        <v>18</v>
      </c>
      <c r="D238" s="5" t="n">
        <v>46050.8527777778</v>
      </c>
      <c r="E238" s="5" t="n">
        <v>46052.0236111111</v>
      </c>
      <c r="F238" s="5" t="n">
        <v>46052.2944444444</v>
      </c>
      <c r="G238" s="5" t="n">
        <v>46052.6527777778</v>
      </c>
      <c r="H238" s="5" t="n">
        <v>46052.8694444444</v>
      </c>
      <c r="I238" s="4" t="n">
        <v>20</v>
      </c>
      <c r="J238" s="6" t="n">
        <v>28.1</v>
      </c>
      <c r="K238" s="6" t="n">
        <v>6.5</v>
      </c>
      <c r="L238" s="6" t="n">
        <v>8.6</v>
      </c>
      <c r="M238" s="6" t="n">
        <v>5.2</v>
      </c>
      <c r="N238" s="6" t="n">
        <v>48.4</v>
      </c>
    </row>
    <row r="239" customFormat="false" ht="15" hidden="false" customHeight="false" outlineLevel="0" collapsed="false">
      <c r="A239" s="4" t="s">
        <v>256</v>
      </c>
      <c r="B239" s="4" t="s">
        <v>20</v>
      </c>
      <c r="C239" s="4" t="s">
        <v>18</v>
      </c>
      <c r="D239" s="5" t="n">
        <v>46105.7673611111</v>
      </c>
      <c r="E239" s="5" t="n">
        <v>46106.7048611111</v>
      </c>
      <c r="F239" s="5" t="n">
        <v>46106.7881944445</v>
      </c>
      <c r="G239" s="5" t="n">
        <v>46107.0131944444</v>
      </c>
      <c r="H239" s="5" t="n">
        <v>46107.1173611111</v>
      </c>
      <c r="I239" s="4" t="n">
        <v>18</v>
      </c>
      <c r="J239" s="6" t="n">
        <v>22.5</v>
      </c>
      <c r="K239" s="6" t="n">
        <v>2</v>
      </c>
      <c r="L239" s="6" t="n">
        <v>5.4</v>
      </c>
      <c r="M239" s="6" t="n">
        <v>2.5</v>
      </c>
      <c r="N239" s="6" t="n">
        <v>32.4</v>
      </c>
    </row>
    <row r="240" customFormat="false" ht="15" hidden="false" customHeight="false" outlineLevel="0" collapsed="false">
      <c r="A240" s="4" t="s">
        <v>257</v>
      </c>
      <c r="B240" s="4" t="s">
        <v>20</v>
      </c>
      <c r="C240" s="4" t="s">
        <v>35</v>
      </c>
      <c r="D240" s="5" t="n">
        <v>46165.9159722222</v>
      </c>
      <c r="E240" s="5" t="n">
        <v>46167.1201388889</v>
      </c>
      <c r="F240" s="5" t="n">
        <v>46167.6159722222</v>
      </c>
      <c r="G240" s="5" t="n">
        <v>46167.9576388889</v>
      </c>
      <c r="H240" s="5" t="n">
        <v>46168.1243055556</v>
      </c>
      <c r="I240" s="4" t="n">
        <v>21</v>
      </c>
      <c r="J240" s="6" t="n">
        <v>28.9</v>
      </c>
      <c r="K240" s="6" t="n">
        <v>11.9</v>
      </c>
      <c r="L240" s="6" t="n">
        <v>8.2</v>
      </c>
      <c r="M240" s="6" t="n">
        <v>4</v>
      </c>
      <c r="N240" s="6" t="n">
        <v>53</v>
      </c>
    </row>
    <row r="241" customFormat="false" ht="15" hidden="false" customHeight="false" outlineLevel="0" collapsed="false">
      <c r="A241" s="4" t="s">
        <v>258</v>
      </c>
      <c r="B241" s="4" t="s">
        <v>20</v>
      </c>
      <c r="C241" s="4" t="s">
        <v>18</v>
      </c>
      <c r="D241" s="5" t="n">
        <v>46191.9034722222</v>
      </c>
      <c r="E241" s="5" t="n">
        <v>46193.1368055556</v>
      </c>
      <c r="F241" s="5" t="n">
        <v>46193.3743055556</v>
      </c>
      <c r="G241" s="5" t="n">
        <v>46193.9076388889</v>
      </c>
      <c r="H241" s="5" t="n">
        <v>46194.1201388889</v>
      </c>
      <c r="I241" s="4" t="n">
        <v>21</v>
      </c>
      <c r="J241" s="6" t="n">
        <v>29.6</v>
      </c>
      <c r="K241" s="6" t="n">
        <v>5.7</v>
      </c>
      <c r="L241" s="6" t="n">
        <v>12.8</v>
      </c>
      <c r="M241" s="6" t="n">
        <v>5.1</v>
      </c>
      <c r="N241" s="6" t="n">
        <v>53.2</v>
      </c>
    </row>
    <row r="242" customFormat="false" ht="15" hidden="false" customHeight="false" outlineLevel="0" collapsed="false">
      <c r="A242" s="4" t="s">
        <v>259</v>
      </c>
      <c r="B242" s="4" t="s">
        <v>24</v>
      </c>
      <c r="C242" s="4" t="s">
        <v>18</v>
      </c>
      <c r="D242" s="5" t="n">
        <v>46047.7375</v>
      </c>
      <c r="E242" s="5" t="n">
        <v>46048.9333333333</v>
      </c>
      <c r="F242" s="5" t="n">
        <v>46049.0708333333</v>
      </c>
      <c r="G242" s="5" t="n">
        <v>46049.5916666667</v>
      </c>
      <c r="H242" s="5" t="n">
        <v>46049.7083333333</v>
      </c>
      <c r="I242" s="4" t="n">
        <v>17</v>
      </c>
      <c r="J242" s="6" t="n">
        <v>28.7</v>
      </c>
      <c r="K242" s="6" t="n">
        <v>3.3</v>
      </c>
      <c r="L242" s="6" t="n">
        <v>12.5</v>
      </c>
      <c r="M242" s="6" t="n">
        <v>2.8</v>
      </c>
      <c r="N242" s="6" t="n">
        <v>47.3</v>
      </c>
    </row>
    <row r="243" customFormat="false" ht="15" hidden="false" customHeight="false" outlineLevel="0" collapsed="false">
      <c r="A243" s="4" t="s">
        <v>260</v>
      </c>
      <c r="B243" s="4" t="s">
        <v>24</v>
      </c>
      <c r="C243" s="4" t="s">
        <v>18</v>
      </c>
      <c r="D243" s="5" t="n">
        <v>46059.7597222222</v>
      </c>
      <c r="E243" s="5" t="n">
        <v>46060.9388888889</v>
      </c>
      <c r="F243" s="5" t="n">
        <v>46061.3388888889</v>
      </c>
      <c r="G243" s="5" t="n">
        <v>46061.9138888889</v>
      </c>
      <c r="H243" s="5" t="n">
        <v>46062.1305555556</v>
      </c>
      <c r="I243" s="4" t="n">
        <v>18</v>
      </c>
      <c r="J243" s="6" t="n">
        <v>28.3</v>
      </c>
      <c r="K243" s="6" t="n">
        <v>9.6</v>
      </c>
      <c r="L243" s="6" t="n">
        <v>13.8</v>
      </c>
      <c r="M243" s="6" t="n">
        <v>5.2</v>
      </c>
      <c r="N243" s="6" t="n">
        <v>56.9</v>
      </c>
    </row>
    <row r="244" customFormat="false" ht="15" hidden="false" customHeight="false" outlineLevel="0" collapsed="false">
      <c r="A244" s="4" t="s">
        <v>261</v>
      </c>
      <c r="B244" s="4" t="s">
        <v>17</v>
      </c>
      <c r="C244" s="4" t="s">
        <v>18</v>
      </c>
      <c r="D244" s="5" t="n">
        <v>46124.8020833333</v>
      </c>
      <c r="E244" s="5" t="n">
        <v>46125.8270833333</v>
      </c>
      <c r="F244" s="5" t="n">
        <v>46125.9770833333</v>
      </c>
      <c r="G244" s="5" t="n">
        <v>46126.1895833333</v>
      </c>
      <c r="H244" s="5" t="n">
        <v>46126.5270833333</v>
      </c>
      <c r="I244" s="4" t="n">
        <v>19</v>
      </c>
      <c r="J244" s="6" t="n">
        <v>24.6</v>
      </c>
      <c r="K244" s="6" t="n">
        <v>3.6</v>
      </c>
      <c r="L244" s="6" t="n">
        <v>5.1</v>
      </c>
      <c r="M244" s="6" t="n">
        <v>8.1</v>
      </c>
      <c r="N244" s="6" t="n">
        <v>41.4</v>
      </c>
    </row>
    <row r="245" customFormat="false" ht="15" hidden="false" customHeight="false" outlineLevel="0" collapsed="false">
      <c r="A245" s="4" t="s">
        <v>262</v>
      </c>
      <c r="B245" s="4" t="s">
        <v>24</v>
      </c>
      <c r="C245" s="4" t="s">
        <v>18</v>
      </c>
      <c r="D245" s="5" t="n">
        <v>46196.6173611111</v>
      </c>
      <c r="E245" s="5" t="n">
        <v>46197.8423611111</v>
      </c>
      <c r="F245" s="5" t="n">
        <v>46198.2965277778</v>
      </c>
      <c r="G245" s="5" t="n">
        <v>46198.5298611111</v>
      </c>
      <c r="H245" s="5" t="n">
        <v>46198.6340277778</v>
      </c>
      <c r="I245" s="4" t="n">
        <v>14</v>
      </c>
      <c r="J245" s="6" t="n">
        <v>29.4</v>
      </c>
      <c r="K245" s="6" t="n">
        <v>10.9</v>
      </c>
      <c r="L245" s="6" t="n">
        <v>5.6</v>
      </c>
      <c r="M245" s="6" t="n">
        <v>2.5</v>
      </c>
      <c r="N245" s="6" t="n">
        <v>48.4</v>
      </c>
    </row>
    <row r="246" customFormat="false" ht="15" hidden="false" customHeight="false" outlineLevel="0" collapsed="false">
      <c r="A246" s="4" t="s">
        <v>263</v>
      </c>
      <c r="B246" s="4" t="s">
        <v>17</v>
      </c>
      <c r="C246" s="4" t="s">
        <v>18</v>
      </c>
      <c r="D246" s="5" t="n">
        <v>46199.7104166667</v>
      </c>
      <c r="E246" s="5" t="n">
        <v>46200.64375</v>
      </c>
      <c r="F246" s="5" t="n">
        <v>46200.74375</v>
      </c>
      <c r="G246" s="5" t="n">
        <v>46201.06875</v>
      </c>
      <c r="H246" s="5" t="n">
        <v>46201.3104166667</v>
      </c>
      <c r="I246" s="4" t="n">
        <v>17</v>
      </c>
      <c r="J246" s="6" t="n">
        <v>22.4</v>
      </c>
      <c r="K246" s="6" t="n">
        <v>2.4</v>
      </c>
      <c r="L246" s="6" t="n">
        <v>7.8</v>
      </c>
      <c r="M246" s="6" t="n">
        <v>5.8</v>
      </c>
      <c r="N246" s="6" t="n">
        <v>38.4</v>
      </c>
    </row>
    <row r="247" customFormat="false" ht="15" hidden="false" customHeight="false" outlineLevel="0" collapsed="false">
      <c r="A247" s="4" t="s">
        <v>264</v>
      </c>
      <c r="B247" s="4" t="s">
        <v>24</v>
      </c>
      <c r="C247" s="4" t="s">
        <v>35</v>
      </c>
      <c r="D247" s="5" t="n">
        <v>46062.6375</v>
      </c>
      <c r="E247" s="5" t="n">
        <v>46063.5666666667</v>
      </c>
      <c r="F247" s="5" t="n">
        <v>46064.0333333333</v>
      </c>
      <c r="G247" s="5" t="n">
        <v>46064.4208333333</v>
      </c>
      <c r="H247" s="5" t="n">
        <v>46064.6708333333</v>
      </c>
      <c r="I247" s="4" t="n">
        <v>15</v>
      </c>
      <c r="J247" s="6" t="n">
        <v>22.3</v>
      </c>
      <c r="K247" s="6" t="n">
        <v>11.2</v>
      </c>
      <c r="L247" s="6" t="n">
        <v>9.3</v>
      </c>
      <c r="M247" s="6" t="n">
        <v>6</v>
      </c>
      <c r="N247" s="6" t="n">
        <v>48.8</v>
      </c>
    </row>
    <row r="248" customFormat="false" ht="15" hidden="false" customHeight="false" outlineLevel="0" collapsed="false">
      <c r="A248" s="4" t="s">
        <v>265</v>
      </c>
      <c r="B248" s="4" t="s">
        <v>24</v>
      </c>
      <c r="C248" s="4" t="s">
        <v>35</v>
      </c>
      <c r="D248" s="5" t="n">
        <v>46087.50625</v>
      </c>
      <c r="E248" s="5" t="n">
        <v>46088.0020833333</v>
      </c>
      <c r="F248" s="5" t="n">
        <v>46088.3020833333</v>
      </c>
      <c r="G248" s="5" t="n">
        <v>46088.6145833333</v>
      </c>
      <c r="H248" s="5" t="n">
        <v>46088.7770833333</v>
      </c>
      <c r="I248" s="4" t="n">
        <v>12</v>
      </c>
      <c r="J248" s="6" t="n">
        <v>11.9</v>
      </c>
      <c r="K248" s="6" t="n">
        <v>7.2</v>
      </c>
      <c r="L248" s="6" t="n">
        <v>7.5</v>
      </c>
      <c r="M248" s="6" t="n">
        <v>3.9</v>
      </c>
      <c r="N248" s="6" t="n">
        <v>30.5</v>
      </c>
    </row>
    <row r="249" customFormat="false" ht="15" hidden="false" customHeight="false" outlineLevel="0" collapsed="false">
      <c r="A249" s="4" t="s">
        <v>266</v>
      </c>
      <c r="B249" s="4" t="s">
        <v>17</v>
      </c>
      <c r="C249" s="4" t="s">
        <v>18</v>
      </c>
      <c r="D249" s="5" t="n">
        <v>46071.6854166667</v>
      </c>
      <c r="E249" s="5" t="n">
        <v>46072.7520833333</v>
      </c>
      <c r="F249" s="5" t="n">
        <v>46072.85625</v>
      </c>
      <c r="G249" s="5" t="n">
        <v>46073.1395833333</v>
      </c>
      <c r="H249" s="5" t="n">
        <v>46073.4104166667</v>
      </c>
      <c r="I249" s="4" t="n">
        <v>16</v>
      </c>
      <c r="J249" s="6" t="n">
        <v>25.6</v>
      </c>
      <c r="K249" s="6" t="n">
        <v>2.5</v>
      </c>
      <c r="L249" s="6" t="n">
        <v>6.8</v>
      </c>
      <c r="M249" s="6" t="n">
        <v>6.5</v>
      </c>
      <c r="N249" s="6" t="n">
        <v>41.4</v>
      </c>
    </row>
    <row r="250" customFormat="false" ht="15" hidden="false" customHeight="false" outlineLevel="0" collapsed="false">
      <c r="A250" s="4" t="s">
        <v>267</v>
      </c>
      <c r="B250" s="4" t="s">
        <v>20</v>
      </c>
      <c r="C250" s="4" t="s">
        <v>18</v>
      </c>
      <c r="D250" s="5" t="n">
        <v>46205.5895833333</v>
      </c>
      <c r="E250" s="5" t="n">
        <v>46206.5479166667</v>
      </c>
      <c r="F250" s="5" t="n">
        <v>46206.70625</v>
      </c>
      <c r="G250" s="5" t="n">
        <v>46207.0770833333</v>
      </c>
      <c r="H250" s="5" t="n">
        <v>46207.23125</v>
      </c>
      <c r="I250" s="4" t="n">
        <v>14</v>
      </c>
      <c r="J250" s="6" t="n">
        <v>23</v>
      </c>
      <c r="K250" s="6" t="n">
        <v>3.8</v>
      </c>
      <c r="L250" s="6" t="n">
        <v>8.9</v>
      </c>
      <c r="M250" s="6" t="n">
        <v>3.7</v>
      </c>
      <c r="N250" s="6" t="n">
        <v>39.4</v>
      </c>
    </row>
    <row r="251" customFormat="false" ht="15" hidden="false" customHeight="false" outlineLevel="0" collapsed="false">
      <c r="A251" s="4" t="s">
        <v>268</v>
      </c>
      <c r="B251" s="4" t="s">
        <v>20</v>
      </c>
      <c r="C251" s="4" t="s">
        <v>35</v>
      </c>
      <c r="D251" s="5" t="n">
        <v>46063.8319444444</v>
      </c>
      <c r="E251" s="5" t="n">
        <v>46064.6902777778</v>
      </c>
      <c r="F251" s="5" t="n">
        <v>46064.9444444445</v>
      </c>
      <c r="G251" s="5" t="n">
        <v>46065.2611111111</v>
      </c>
      <c r="H251" s="5" t="n">
        <v>46065.4986111111</v>
      </c>
      <c r="I251" s="4" t="n">
        <v>19</v>
      </c>
      <c r="J251" s="6" t="n">
        <v>20.6</v>
      </c>
      <c r="K251" s="6" t="n">
        <v>6.1</v>
      </c>
      <c r="L251" s="6" t="n">
        <v>7.6</v>
      </c>
      <c r="M251" s="6" t="n">
        <v>5.7</v>
      </c>
      <c r="N251" s="6" t="n">
        <v>40</v>
      </c>
    </row>
    <row r="252" customFormat="false" ht="15" hidden="false" customHeight="false" outlineLevel="0" collapsed="false">
      <c r="A252" s="4" t="s">
        <v>269</v>
      </c>
      <c r="B252" s="4" t="s">
        <v>20</v>
      </c>
      <c r="C252" s="4" t="s">
        <v>18</v>
      </c>
      <c r="D252" s="5" t="n">
        <v>46111.7493055556</v>
      </c>
      <c r="E252" s="5" t="n">
        <v>46112.7701388889</v>
      </c>
      <c r="F252" s="5" t="n">
        <v>46113.0076388889</v>
      </c>
      <c r="G252" s="5" t="n">
        <v>46113.3784722222</v>
      </c>
      <c r="H252" s="5" t="n">
        <v>46113.7034722222</v>
      </c>
      <c r="I252" s="4" t="n">
        <v>17</v>
      </c>
      <c r="J252" s="6" t="n">
        <v>24.5</v>
      </c>
      <c r="K252" s="6" t="n">
        <v>5.7</v>
      </c>
      <c r="L252" s="6" t="n">
        <v>8.9</v>
      </c>
      <c r="M252" s="6" t="n">
        <v>7.8</v>
      </c>
      <c r="N252" s="6" t="n">
        <v>46.9</v>
      </c>
    </row>
    <row r="253" customFormat="false" ht="15" hidden="false" customHeight="false" outlineLevel="0" collapsed="false">
      <c r="A253" s="4" t="s">
        <v>270</v>
      </c>
      <c r="B253" s="4" t="s">
        <v>20</v>
      </c>
      <c r="C253" s="4" t="s">
        <v>18</v>
      </c>
      <c r="D253" s="5" t="n">
        <v>46181.7048611111</v>
      </c>
      <c r="E253" s="5" t="n">
        <v>46182.5673611111</v>
      </c>
      <c r="F253" s="5" t="n">
        <v>46182.9840277778</v>
      </c>
      <c r="G253" s="5" t="n">
        <v>46183.3798611111</v>
      </c>
      <c r="H253" s="5" t="n">
        <v>46183.6590277778</v>
      </c>
      <c r="I253" s="4" t="n">
        <v>16</v>
      </c>
      <c r="J253" s="6" t="n">
        <v>20.7</v>
      </c>
      <c r="K253" s="6" t="n">
        <v>10</v>
      </c>
      <c r="L253" s="6" t="n">
        <v>9.5</v>
      </c>
      <c r="M253" s="6" t="n">
        <v>6.7</v>
      </c>
      <c r="N253" s="6" t="n">
        <v>46.9</v>
      </c>
    </row>
    <row r="254" customFormat="false" ht="15" hidden="false" customHeight="false" outlineLevel="0" collapsed="false">
      <c r="A254" s="4" t="s">
        <v>271</v>
      </c>
      <c r="B254" s="4" t="s">
        <v>20</v>
      </c>
      <c r="C254" s="4" t="s">
        <v>18</v>
      </c>
      <c r="D254" s="5" t="n">
        <v>46112.5402777778</v>
      </c>
      <c r="E254" s="5" t="n">
        <v>46112.7111111111</v>
      </c>
      <c r="F254" s="5" t="n">
        <v>46113.1861111111</v>
      </c>
      <c r="G254" s="5" t="n">
        <v>46113.7527777778</v>
      </c>
      <c r="H254" s="5" t="n">
        <v>46113.8694444444</v>
      </c>
      <c r="I254" s="4" t="n">
        <v>12</v>
      </c>
      <c r="J254" s="6" t="n">
        <v>4.1</v>
      </c>
      <c r="K254" s="6" t="n">
        <v>11.4</v>
      </c>
      <c r="L254" s="6" t="n">
        <v>13.6</v>
      </c>
      <c r="M254" s="6" t="n">
        <v>2.8</v>
      </c>
      <c r="N254" s="6" t="n">
        <v>31.9</v>
      </c>
    </row>
    <row r="255" customFormat="false" ht="15" hidden="false" customHeight="false" outlineLevel="0" collapsed="false">
      <c r="A255" s="4" t="s">
        <v>272</v>
      </c>
      <c r="B255" s="4" t="s">
        <v>24</v>
      </c>
      <c r="C255" s="4" t="s">
        <v>18</v>
      </c>
      <c r="D255" s="5" t="n">
        <v>46089.7395833333</v>
      </c>
      <c r="E255" s="5" t="n">
        <v>46090.65625</v>
      </c>
      <c r="F255" s="5" t="n">
        <v>46091.1229166667</v>
      </c>
      <c r="G255" s="5" t="n">
        <v>46091.5020833333</v>
      </c>
      <c r="H255" s="5" t="n">
        <v>46091.8104166667</v>
      </c>
      <c r="I255" s="4" t="n">
        <v>17</v>
      </c>
      <c r="J255" s="6" t="n">
        <v>22</v>
      </c>
      <c r="K255" s="6" t="n">
        <v>11.2</v>
      </c>
      <c r="L255" s="6" t="n">
        <v>9.1</v>
      </c>
      <c r="M255" s="6" t="n">
        <v>7.4</v>
      </c>
      <c r="N255" s="6" t="n">
        <v>49.7</v>
      </c>
    </row>
    <row r="256" customFormat="false" ht="15" hidden="false" customHeight="false" outlineLevel="0" collapsed="false">
      <c r="A256" s="4" t="s">
        <v>273</v>
      </c>
      <c r="B256" s="4" t="s">
        <v>20</v>
      </c>
      <c r="C256" s="4" t="s">
        <v>18</v>
      </c>
      <c r="D256" s="5" t="n">
        <v>46118.5576388889</v>
      </c>
      <c r="E256" s="5" t="n">
        <v>46118.8951388889</v>
      </c>
      <c r="F256" s="5" t="n">
        <v>46119.1868055556</v>
      </c>
      <c r="G256" s="5" t="n">
        <v>46119.3576388889</v>
      </c>
      <c r="H256" s="5" t="n">
        <v>46119.7284722222</v>
      </c>
      <c r="I256" s="4" t="n">
        <v>13</v>
      </c>
      <c r="J256" s="6" t="n">
        <v>8.1</v>
      </c>
      <c r="K256" s="6" t="n">
        <v>7</v>
      </c>
      <c r="L256" s="6" t="n">
        <v>4.1</v>
      </c>
      <c r="M256" s="6" t="n">
        <v>8.9</v>
      </c>
      <c r="N256" s="6" t="n">
        <v>28.1</v>
      </c>
    </row>
    <row r="257" customFormat="false" ht="15" hidden="false" customHeight="false" outlineLevel="0" collapsed="false">
      <c r="A257" s="4" t="s">
        <v>274</v>
      </c>
      <c r="B257" s="4" t="s">
        <v>17</v>
      </c>
      <c r="C257" s="4" t="s">
        <v>35</v>
      </c>
      <c r="D257" s="5" t="n">
        <v>46079.5597222222</v>
      </c>
      <c r="E257" s="5" t="n">
        <v>46079.7430555556</v>
      </c>
      <c r="F257" s="5" t="n">
        <v>46080.1847222222</v>
      </c>
      <c r="G257" s="5" t="n">
        <v>46080.6513888889</v>
      </c>
      <c r="H257" s="5" t="n">
        <v>46080.7388888889</v>
      </c>
      <c r="I257" s="4" t="n">
        <v>13</v>
      </c>
      <c r="J257" s="6" t="n">
        <v>4.4</v>
      </c>
      <c r="K257" s="6" t="n">
        <v>10.6</v>
      </c>
      <c r="L257" s="6" t="n">
        <v>11.2</v>
      </c>
      <c r="M257" s="6" t="n">
        <v>2.1</v>
      </c>
      <c r="N257" s="6" t="n">
        <v>28.3</v>
      </c>
    </row>
    <row r="258" customFormat="false" ht="15" hidden="false" customHeight="false" outlineLevel="0" collapsed="false">
      <c r="A258" s="4" t="s">
        <v>275</v>
      </c>
      <c r="B258" s="4" t="s">
        <v>17</v>
      </c>
      <c r="C258" s="4" t="s">
        <v>18</v>
      </c>
      <c r="D258" s="5" t="n">
        <v>46133.5083333333</v>
      </c>
      <c r="E258" s="5" t="n">
        <v>46133.7833333333</v>
      </c>
      <c r="F258" s="5" t="n">
        <v>46134.025</v>
      </c>
      <c r="G258" s="5" t="n">
        <v>46134.5333333333</v>
      </c>
      <c r="H258" s="5" t="n">
        <v>46134.7625</v>
      </c>
      <c r="I258" s="4" t="n">
        <v>12</v>
      </c>
      <c r="J258" s="6" t="n">
        <v>6.6</v>
      </c>
      <c r="K258" s="6" t="n">
        <v>5.8</v>
      </c>
      <c r="L258" s="6" t="n">
        <v>12.2</v>
      </c>
      <c r="M258" s="6" t="n">
        <v>5.5</v>
      </c>
      <c r="N258" s="6" t="n">
        <v>30.1</v>
      </c>
    </row>
    <row r="259" customFormat="false" ht="15" hidden="false" customHeight="false" outlineLevel="0" collapsed="false">
      <c r="A259" s="4" t="s">
        <v>276</v>
      </c>
      <c r="B259" s="4" t="s">
        <v>17</v>
      </c>
      <c r="C259" s="4" t="s">
        <v>18</v>
      </c>
      <c r="D259" s="5" t="n">
        <v>46092.7715277778</v>
      </c>
      <c r="E259" s="5" t="n">
        <v>46094.0090277778</v>
      </c>
      <c r="F259" s="5" t="n">
        <v>46094.3590277778</v>
      </c>
      <c r="G259" s="5" t="n">
        <v>46094.7090277778</v>
      </c>
      <c r="H259" s="5" t="n">
        <v>46094.8423611111</v>
      </c>
      <c r="I259" s="4" t="n">
        <v>18</v>
      </c>
      <c r="J259" s="6" t="n">
        <v>29.7</v>
      </c>
      <c r="K259" s="6" t="n">
        <v>8.4</v>
      </c>
      <c r="L259" s="6" t="n">
        <v>8.4</v>
      </c>
      <c r="M259" s="6" t="n">
        <v>3.2</v>
      </c>
      <c r="N259" s="6" t="n">
        <v>49.7</v>
      </c>
    </row>
    <row r="260" customFormat="false" ht="15" hidden="false" customHeight="false" outlineLevel="0" collapsed="false">
      <c r="A260" s="4" t="s">
        <v>277</v>
      </c>
      <c r="B260" s="4" t="s">
        <v>24</v>
      </c>
      <c r="C260" s="4" t="s">
        <v>18</v>
      </c>
      <c r="D260" s="5" t="n">
        <v>46166.6652777778</v>
      </c>
      <c r="E260" s="5" t="n">
        <v>46167.8694444444</v>
      </c>
      <c r="F260" s="5" t="n">
        <v>46168.3652777778</v>
      </c>
      <c r="G260" s="5" t="n">
        <v>46168.9277777778</v>
      </c>
      <c r="H260" s="5" t="n">
        <v>46169.1652777778</v>
      </c>
      <c r="I260" s="4" t="n">
        <v>15</v>
      </c>
      <c r="J260" s="6" t="n">
        <v>28.9</v>
      </c>
      <c r="K260" s="6" t="n">
        <v>11.9</v>
      </c>
      <c r="L260" s="6" t="n">
        <v>13.5</v>
      </c>
      <c r="M260" s="6" t="n">
        <v>5.7</v>
      </c>
      <c r="N260" s="6" t="n">
        <v>60</v>
      </c>
    </row>
    <row r="261" customFormat="false" ht="15" hidden="false" customHeight="false" outlineLevel="0" collapsed="false">
      <c r="A261" s="4" t="s">
        <v>278</v>
      </c>
      <c r="B261" s="4" t="s">
        <v>24</v>
      </c>
      <c r="C261" s="4" t="s">
        <v>18</v>
      </c>
      <c r="D261" s="5" t="n">
        <v>46198.3333333333</v>
      </c>
      <c r="E261" s="5" t="n">
        <v>46198.5208333333</v>
      </c>
      <c r="F261" s="5" t="n">
        <v>46198.9541666667</v>
      </c>
      <c r="G261" s="5" t="n">
        <v>46199.1833333333</v>
      </c>
      <c r="H261" s="5" t="n">
        <v>46199.475</v>
      </c>
      <c r="I261" s="4" t="n">
        <v>8</v>
      </c>
      <c r="J261" s="6" t="n">
        <v>4.5</v>
      </c>
      <c r="K261" s="6" t="n">
        <v>10.4</v>
      </c>
      <c r="L261" s="6" t="n">
        <v>5.5</v>
      </c>
      <c r="M261" s="6" t="n">
        <v>7</v>
      </c>
      <c r="N261" s="6" t="n">
        <v>27.4</v>
      </c>
    </row>
    <row r="262" customFormat="false" ht="15" hidden="false" customHeight="false" outlineLevel="0" collapsed="false">
      <c r="A262" s="4" t="s">
        <v>279</v>
      </c>
      <c r="B262" s="4" t="s">
        <v>20</v>
      </c>
      <c r="C262" s="4" t="s">
        <v>18</v>
      </c>
      <c r="D262" s="5" t="n">
        <v>46122.3611111111</v>
      </c>
      <c r="E262" s="5" t="n">
        <v>46122.6111111111</v>
      </c>
      <c r="F262" s="5" t="n">
        <v>46122.9527777778</v>
      </c>
      <c r="G262" s="5" t="n">
        <v>46123.2986111111</v>
      </c>
      <c r="H262" s="5" t="n">
        <v>46123.5236111111</v>
      </c>
      <c r="I262" s="4" t="n">
        <v>8</v>
      </c>
      <c r="J262" s="6" t="n">
        <v>6</v>
      </c>
      <c r="K262" s="6" t="n">
        <v>8.2</v>
      </c>
      <c r="L262" s="6" t="n">
        <v>8.3</v>
      </c>
      <c r="M262" s="6" t="n">
        <v>5.4</v>
      </c>
      <c r="N262" s="6" t="n">
        <v>27.9</v>
      </c>
    </row>
    <row r="263" customFormat="false" ht="15" hidden="false" customHeight="false" outlineLevel="0" collapsed="false">
      <c r="A263" s="4" t="s">
        <v>280</v>
      </c>
      <c r="B263" s="4" t="s">
        <v>20</v>
      </c>
      <c r="C263" s="4" t="s">
        <v>18</v>
      </c>
      <c r="D263" s="5" t="n">
        <v>46030.3236111111</v>
      </c>
      <c r="E263" s="5" t="n">
        <v>46030.4736111111</v>
      </c>
      <c r="F263" s="5" t="n">
        <v>46030.9652777778</v>
      </c>
      <c r="G263" s="5" t="n">
        <v>46031.0986111111</v>
      </c>
      <c r="H263" s="5" t="n">
        <v>46031.4194444444</v>
      </c>
      <c r="I263" s="4" t="n">
        <v>7</v>
      </c>
      <c r="J263" s="6" t="n">
        <v>3.6</v>
      </c>
      <c r="K263" s="6" t="n">
        <v>11.8</v>
      </c>
      <c r="L263" s="6" t="n">
        <v>3.2</v>
      </c>
      <c r="M263" s="6" t="n">
        <v>7.7</v>
      </c>
      <c r="N263" s="6" t="n">
        <v>26.3</v>
      </c>
    </row>
    <row r="264" customFormat="false" ht="15" hidden="false" customHeight="false" outlineLevel="0" collapsed="false">
      <c r="A264" s="4" t="s">
        <v>281</v>
      </c>
      <c r="B264" s="4" t="s">
        <v>17</v>
      </c>
      <c r="C264" s="4" t="s">
        <v>35</v>
      </c>
      <c r="D264" s="5" t="n">
        <v>46072.3791666667</v>
      </c>
      <c r="E264" s="5" t="n">
        <v>46072.5916666667</v>
      </c>
      <c r="F264" s="5" t="n">
        <v>46072.775</v>
      </c>
      <c r="G264" s="5" t="n">
        <v>46073.1833333333</v>
      </c>
      <c r="H264" s="5" t="n">
        <v>46073.3416666667</v>
      </c>
      <c r="I264" s="4" t="n">
        <v>9</v>
      </c>
      <c r="J264" s="6" t="n">
        <v>5.1</v>
      </c>
      <c r="K264" s="6" t="n">
        <v>4.4</v>
      </c>
      <c r="L264" s="6" t="n">
        <v>9.8</v>
      </c>
      <c r="M264" s="6" t="n">
        <v>3.8</v>
      </c>
      <c r="N264" s="6" t="n">
        <v>23.1</v>
      </c>
    </row>
    <row r="265" customFormat="false" ht="15" hidden="false" customHeight="false" outlineLevel="0" collapsed="false">
      <c r="A265" s="4" t="s">
        <v>282</v>
      </c>
      <c r="B265" s="4" t="s">
        <v>20</v>
      </c>
      <c r="C265" s="4" t="s">
        <v>35</v>
      </c>
      <c r="D265" s="5" t="n">
        <v>46047.5590277778</v>
      </c>
      <c r="E265" s="5" t="n">
        <v>46047.8798611111</v>
      </c>
      <c r="F265" s="5" t="n">
        <v>46048.0631944445</v>
      </c>
      <c r="G265" s="5" t="n">
        <v>46048.5090277778</v>
      </c>
      <c r="H265" s="5" t="n">
        <v>46048.6798611111</v>
      </c>
      <c r="I265" s="4" t="n">
        <v>13</v>
      </c>
      <c r="J265" s="6" t="n">
        <v>7.7</v>
      </c>
      <c r="K265" s="6" t="n">
        <v>4.4</v>
      </c>
      <c r="L265" s="6" t="n">
        <v>10.7</v>
      </c>
      <c r="M265" s="6" t="n">
        <v>4.1</v>
      </c>
      <c r="N265" s="6" t="n">
        <v>26.9</v>
      </c>
    </row>
    <row r="266" customFormat="false" ht="15" hidden="false" customHeight="false" outlineLevel="0" collapsed="false">
      <c r="A266" s="4" t="s">
        <v>283</v>
      </c>
      <c r="B266" s="4" t="s">
        <v>24</v>
      </c>
      <c r="C266" s="4" t="s">
        <v>18</v>
      </c>
      <c r="D266" s="5" t="n">
        <v>46193.7534722222</v>
      </c>
      <c r="E266" s="5" t="n">
        <v>46194.7576388889</v>
      </c>
      <c r="F266" s="5" t="n">
        <v>46194.9993055556</v>
      </c>
      <c r="G266" s="5" t="n">
        <v>46195.3409722222</v>
      </c>
      <c r="H266" s="5" t="n">
        <v>46195.6118055556</v>
      </c>
      <c r="I266" s="4" t="n">
        <v>18</v>
      </c>
      <c r="J266" s="6" t="n">
        <v>24.1</v>
      </c>
      <c r="K266" s="6" t="n">
        <v>5.8</v>
      </c>
      <c r="L266" s="6" t="n">
        <v>8.2</v>
      </c>
      <c r="M266" s="6" t="n">
        <v>6.5</v>
      </c>
      <c r="N266" s="6" t="n">
        <v>44.6</v>
      </c>
    </row>
    <row r="267" customFormat="false" ht="15" hidden="false" customHeight="false" outlineLevel="0" collapsed="false">
      <c r="A267" s="4" t="s">
        <v>284</v>
      </c>
      <c r="B267" s="4" t="s">
        <v>17</v>
      </c>
      <c r="C267" s="4" t="s">
        <v>18</v>
      </c>
      <c r="D267" s="5" t="n">
        <v>46138.7229166667</v>
      </c>
      <c r="E267" s="5" t="n">
        <v>46139.79375</v>
      </c>
      <c r="F267" s="5" t="n">
        <v>46140.2354166667</v>
      </c>
      <c r="G267" s="5" t="n">
        <v>46140.4020833333</v>
      </c>
      <c r="H267" s="5" t="n">
        <v>46140.6395833333</v>
      </c>
      <c r="I267" s="4" t="n">
        <v>17</v>
      </c>
      <c r="J267" s="6" t="n">
        <v>25.7</v>
      </c>
      <c r="K267" s="6" t="n">
        <v>10.6</v>
      </c>
      <c r="L267" s="6" t="n">
        <v>4</v>
      </c>
      <c r="M267" s="6" t="n">
        <v>5.7</v>
      </c>
      <c r="N267" s="6" t="n">
        <v>46</v>
      </c>
    </row>
    <row r="268" customFormat="false" ht="15" hidden="false" customHeight="false" outlineLevel="0" collapsed="false">
      <c r="A268" s="4" t="s">
        <v>285</v>
      </c>
      <c r="B268" s="4" t="s">
        <v>20</v>
      </c>
      <c r="C268" s="4" t="s">
        <v>18</v>
      </c>
      <c r="D268" s="5" t="n">
        <v>46204.8125</v>
      </c>
      <c r="E268" s="5" t="n">
        <v>46205.7583333333</v>
      </c>
      <c r="F268" s="5" t="n">
        <v>46206.225</v>
      </c>
      <c r="G268" s="5" t="n">
        <v>46206.6625</v>
      </c>
      <c r="H268" s="5" t="n">
        <v>46206.8291666667</v>
      </c>
      <c r="I268" s="4" t="n">
        <v>19</v>
      </c>
      <c r="J268" s="6" t="n">
        <v>22.7</v>
      </c>
      <c r="K268" s="6" t="n">
        <v>11.2</v>
      </c>
      <c r="L268" s="6" t="n">
        <v>10.5</v>
      </c>
      <c r="M268" s="6" t="n">
        <v>4</v>
      </c>
      <c r="N268" s="6" t="n">
        <v>48.4</v>
      </c>
    </row>
    <row r="269" customFormat="false" ht="15" hidden="false" customHeight="false" outlineLevel="0" collapsed="false">
      <c r="A269" s="4" t="s">
        <v>286</v>
      </c>
      <c r="B269" s="4" t="s">
        <v>17</v>
      </c>
      <c r="C269" s="4" t="s">
        <v>18</v>
      </c>
      <c r="D269" s="5" t="n">
        <v>46072.8472222222</v>
      </c>
      <c r="E269" s="5" t="n">
        <v>46073.6888888889</v>
      </c>
      <c r="F269" s="5" t="n">
        <v>46073.8597222222</v>
      </c>
      <c r="G269" s="5" t="n">
        <v>46074.0513888889</v>
      </c>
      <c r="H269" s="5" t="n">
        <v>46074.3722222222</v>
      </c>
      <c r="I269" s="4" t="n">
        <v>20</v>
      </c>
      <c r="J269" s="6" t="n">
        <v>20.2</v>
      </c>
      <c r="K269" s="6" t="n">
        <v>4.1</v>
      </c>
      <c r="L269" s="6" t="n">
        <v>4.6</v>
      </c>
      <c r="M269" s="6" t="n">
        <v>7.7</v>
      </c>
      <c r="N269" s="6" t="n">
        <v>36.6</v>
      </c>
    </row>
    <row r="270" customFormat="false" ht="15" hidden="false" customHeight="false" outlineLevel="0" collapsed="false">
      <c r="A270" s="4" t="s">
        <v>287</v>
      </c>
      <c r="B270" s="4" t="s">
        <v>24</v>
      </c>
      <c r="C270" s="4" t="s">
        <v>53</v>
      </c>
      <c r="D270" s="5" t="n">
        <v>46103.4270833333</v>
      </c>
      <c r="E270" s="5" t="n">
        <v>46103.78125</v>
      </c>
      <c r="F270" s="5" t="n">
        <v>46104.21875</v>
      </c>
      <c r="G270" s="5" t="n">
        <v>46104.6520833333</v>
      </c>
      <c r="H270" s="5" t="n">
        <v>46104.89375</v>
      </c>
      <c r="I270" s="4" t="n">
        <v>10</v>
      </c>
      <c r="J270" s="6" t="n">
        <v>8.5</v>
      </c>
      <c r="K270" s="6" t="n">
        <v>10.5</v>
      </c>
      <c r="L270" s="6" t="n">
        <v>10.4</v>
      </c>
      <c r="M270" s="6" t="n">
        <v>5.8</v>
      </c>
      <c r="N270" s="6" t="n">
        <v>35.2</v>
      </c>
    </row>
    <row r="271" customFormat="false" ht="15" hidden="false" customHeight="false" outlineLevel="0" collapsed="false">
      <c r="A271" s="4" t="s">
        <v>288</v>
      </c>
      <c r="B271" s="4" t="s">
        <v>20</v>
      </c>
      <c r="C271" s="4" t="s">
        <v>35</v>
      </c>
      <c r="D271" s="5" t="n">
        <v>46203.7722222222</v>
      </c>
      <c r="E271" s="5" t="n">
        <v>46204.9180555556</v>
      </c>
      <c r="F271" s="5" t="n">
        <v>46205.1472222222</v>
      </c>
      <c r="G271" s="5" t="n">
        <v>46205.3180555556</v>
      </c>
      <c r="H271" s="5" t="n">
        <v>46205.4680555556</v>
      </c>
      <c r="I271" s="4" t="n">
        <v>18</v>
      </c>
      <c r="J271" s="6" t="n">
        <v>27.5</v>
      </c>
      <c r="K271" s="6" t="n">
        <v>5.5</v>
      </c>
      <c r="L271" s="6" t="n">
        <v>4.1</v>
      </c>
      <c r="M271" s="6" t="n">
        <v>3.6</v>
      </c>
      <c r="N271" s="6" t="n">
        <v>40.7</v>
      </c>
    </row>
    <row r="272" customFormat="false" ht="15" hidden="false" customHeight="false" outlineLevel="0" collapsed="false">
      <c r="A272" s="4" t="s">
        <v>289</v>
      </c>
      <c r="B272" s="4" t="s">
        <v>20</v>
      </c>
      <c r="C272" s="4" t="s">
        <v>18</v>
      </c>
      <c r="D272" s="5" t="n">
        <v>46184.8506944445</v>
      </c>
      <c r="E272" s="5" t="n">
        <v>46186.0881944444</v>
      </c>
      <c r="F272" s="5" t="n">
        <v>46186.3090277778</v>
      </c>
      <c r="G272" s="5" t="n">
        <v>46186.7256944445</v>
      </c>
      <c r="H272" s="5" t="n">
        <v>46187.0381944445</v>
      </c>
      <c r="I272" s="4" t="n">
        <v>20</v>
      </c>
      <c r="J272" s="6" t="n">
        <v>29.7</v>
      </c>
      <c r="K272" s="6" t="n">
        <v>5.3</v>
      </c>
      <c r="L272" s="6" t="n">
        <v>10</v>
      </c>
      <c r="M272" s="6" t="n">
        <v>7.5</v>
      </c>
      <c r="N272" s="6" t="n">
        <v>52.5</v>
      </c>
    </row>
    <row r="273" customFormat="false" ht="15" hidden="false" customHeight="false" outlineLevel="0" collapsed="false">
      <c r="A273" s="4" t="s">
        <v>290</v>
      </c>
      <c r="B273" s="4" t="s">
        <v>17</v>
      </c>
      <c r="C273" s="4" t="s">
        <v>18</v>
      </c>
      <c r="D273" s="5" t="n">
        <v>46168.8520833333</v>
      </c>
      <c r="E273" s="5" t="n">
        <v>46169.7645833333</v>
      </c>
      <c r="F273" s="5" t="n">
        <v>46170.09375</v>
      </c>
      <c r="G273" s="5" t="n">
        <v>46170.39375</v>
      </c>
      <c r="H273" s="5" t="n">
        <v>46170.7020833333</v>
      </c>
      <c r="I273" s="4" t="n">
        <v>20</v>
      </c>
      <c r="J273" s="6" t="n">
        <v>21.9</v>
      </c>
      <c r="K273" s="6" t="n">
        <v>7.9</v>
      </c>
      <c r="L273" s="6" t="n">
        <v>7.2</v>
      </c>
      <c r="M273" s="6" t="n">
        <v>7.4</v>
      </c>
      <c r="N273" s="6" t="n">
        <v>44.4</v>
      </c>
    </row>
    <row r="274" customFormat="false" ht="15" hidden="false" customHeight="false" outlineLevel="0" collapsed="false">
      <c r="A274" s="4" t="s">
        <v>291</v>
      </c>
      <c r="B274" s="4" t="s">
        <v>20</v>
      </c>
      <c r="C274" s="4" t="s">
        <v>18</v>
      </c>
      <c r="D274" s="5" t="n">
        <v>46045.38125</v>
      </c>
      <c r="E274" s="5" t="n">
        <v>46045.5604166667</v>
      </c>
      <c r="F274" s="5" t="n">
        <v>46045.96875</v>
      </c>
      <c r="G274" s="5" t="n">
        <v>46046.1645833333</v>
      </c>
      <c r="H274" s="5" t="n">
        <v>46046.3604166667</v>
      </c>
      <c r="I274" s="4" t="n">
        <v>9</v>
      </c>
      <c r="J274" s="6" t="n">
        <v>4.3</v>
      </c>
      <c r="K274" s="6" t="n">
        <v>9.8</v>
      </c>
      <c r="L274" s="6" t="n">
        <v>4.7</v>
      </c>
      <c r="M274" s="6" t="n">
        <v>4.7</v>
      </c>
      <c r="N274" s="6" t="n">
        <v>23.5</v>
      </c>
    </row>
    <row r="275" customFormat="false" ht="15" hidden="false" customHeight="false" outlineLevel="0" collapsed="false">
      <c r="A275" s="4" t="s">
        <v>292</v>
      </c>
      <c r="B275" s="4" t="s">
        <v>20</v>
      </c>
      <c r="C275" s="4" t="s">
        <v>18</v>
      </c>
      <c r="D275" s="5" t="n">
        <v>46105.6166666667</v>
      </c>
      <c r="E275" s="5" t="n">
        <v>46106.5625</v>
      </c>
      <c r="F275" s="5" t="n">
        <v>46106.7</v>
      </c>
      <c r="G275" s="5" t="n">
        <v>46106.9125</v>
      </c>
      <c r="H275" s="5" t="n">
        <v>46107.125</v>
      </c>
      <c r="I275" s="4" t="n">
        <v>14</v>
      </c>
      <c r="J275" s="6" t="n">
        <v>22.7</v>
      </c>
      <c r="K275" s="6" t="n">
        <v>3.3</v>
      </c>
      <c r="L275" s="6" t="n">
        <v>5.1</v>
      </c>
      <c r="M275" s="6" t="n">
        <v>5.1</v>
      </c>
      <c r="N275" s="6" t="n">
        <v>36.2</v>
      </c>
    </row>
    <row r="276" customFormat="false" ht="15" hidden="false" customHeight="false" outlineLevel="0" collapsed="false">
      <c r="A276" s="4" t="s">
        <v>293</v>
      </c>
      <c r="B276" s="4" t="s">
        <v>17</v>
      </c>
      <c r="C276" s="4" t="s">
        <v>18</v>
      </c>
      <c r="D276" s="5" t="n">
        <v>46033.3993055556</v>
      </c>
      <c r="E276" s="5" t="n">
        <v>46033.5076388889</v>
      </c>
      <c r="F276" s="5" t="n">
        <v>46033.8409722222</v>
      </c>
      <c r="G276" s="5" t="n">
        <v>46034.1159722222</v>
      </c>
      <c r="H276" s="5" t="n">
        <v>46034.3118055556</v>
      </c>
      <c r="I276" s="4" t="n">
        <v>9</v>
      </c>
      <c r="J276" s="6" t="n">
        <v>2.6</v>
      </c>
      <c r="K276" s="6" t="n">
        <v>8</v>
      </c>
      <c r="L276" s="6" t="n">
        <v>6.6</v>
      </c>
      <c r="M276" s="6" t="n">
        <v>4.7</v>
      </c>
      <c r="N276" s="6" t="n">
        <v>21.9</v>
      </c>
    </row>
    <row r="277" customFormat="false" ht="15" hidden="false" customHeight="false" outlineLevel="0" collapsed="false">
      <c r="A277" s="4" t="s">
        <v>294</v>
      </c>
      <c r="B277" s="4" t="s">
        <v>20</v>
      </c>
      <c r="C277" s="4" t="s">
        <v>18</v>
      </c>
      <c r="D277" s="5" t="n">
        <v>46048.7743055556</v>
      </c>
      <c r="E277" s="5" t="n">
        <v>46049.9868055556</v>
      </c>
      <c r="F277" s="5" t="n">
        <v>46050.4784722222</v>
      </c>
      <c r="G277" s="5" t="n">
        <v>46050.8659722222</v>
      </c>
      <c r="H277" s="5" t="n">
        <v>46050.9993055556</v>
      </c>
      <c r="I277" s="4" t="n">
        <v>18</v>
      </c>
      <c r="J277" s="6" t="n">
        <v>29.1</v>
      </c>
      <c r="K277" s="6" t="n">
        <v>11.8</v>
      </c>
      <c r="L277" s="6" t="n">
        <v>9.3</v>
      </c>
      <c r="M277" s="6" t="n">
        <v>3.2</v>
      </c>
      <c r="N277" s="6" t="n">
        <v>53.4</v>
      </c>
    </row>
    <row r="278" customFormat="false" ht="15" hidden="false" customHeight="false" outlineLevel="0" collapsed="false">
      <c r="A278" s="4" t="s">
        <v>295</v>
      </c>
      <c r="B278" s="4" t="s">
        <v>20</v>
      </c>
      <c r="C278" s="4" t="s">
        <v>18</v>
      </c>
      <c r="D278" s="5" t="n">
        <v>46104.50625</v>
      </c>
      <c r="E278" s="5" t="n">
        <v>46104.69375</v>
      </c>
      <c r="F278" s="5" t="n">
        <v>46104.95625</v>
      </c>
      <c r="G278" s="5" t="n">
        <v>46105.2729166667</v>
      </c>
      <c r="H278" s="5" t="n">
        <v>46105.4979166667</v>
      </c>
      <c r="I278" s="4" t="n">
        <v>12</v>
      </c>
      <c r="J278" s="6" t="n">
        <v>4.5</v>
      </c>
      <c r="K278" s="6" t="n">
        <v>6.3</v>
      </c>
      <c r="L278" s="6" t="n">
        <v>7.6</v>
      </c>
      <c r="M278" s="6" t="n">
        <v>5.4</v>
      </c>
      <c r="N278" s="6" t="n">
        <v>23.8</v>
      </c>
    </row>
    <row r="279" customFormat="false" ht="15" hidden="false" customHeight="false" outlineLevel="0" collapsed="false">
      <c r="A279" s="4" t="s">
        <v>296</v>
      </c>
      <c r="B279" s="4" t="s">
        <v>20</v>
      </c>
      <c r="C279" s="4" t="s">
        <v>18</v>
      </c>
      <c r="D279" s="5" t="n">
        <v>46090.7715277778</v>
      </c>
      <c r="E279" s="5" t="n">
        <v>46091.8506944445</v>
      </c>
      <c r="F279" s="5" t="n">
        <v>46092.0173611111</v>
      </c>
      <c r="G279" s="5" t="n">
        <v>46092.1923611111</v>
      </c>
      <c r="H279" s="5" t="n">
        <v>46092.3631944444</v>
      </c>
      <c r="I279" s="4" t="n">
        <v>18</v>
      </c>
      <c r="J279" s="6" t="n">
        <v>25.9</v>
      </c>
      <c r="K279" s="6" t="n">
        <v>4</v>
      </c>
      <c r="L279" s="6" t="n">
        <v>4.2</v>
      </c>
      <c r="M279" s="6" t="n">
        <v>4.1</v>
      </c>
      <c r="N279" s="6" t="n">
        <v>38.2</v>
      </c>
    </row>
    <row r="280" customFormat="false" ht="15" hidden="false" customHeight="false" outlineLevel="0" collapsed="false">
      <c r="A280" s="4" t="s">
        <v>297</v>
      </c>
      <c r="B280" s="4" t="s">
        <v>24</v>
      </c>
      <c r="C280" s="4" t="s">
        <v>18</v>
      </c>
      <c r="D280" s="5" t="n">
        <v>46185.5798611111</v>
      </c>
      <c r="E280" s="5" t="n">
        <v>46185.8548611111</v>
      </c>
      <c r="F280" s="5" t="n">
        <v>46186.0756944444</v>
      </c>
      <c r="G280" s="5" t="n">
        <v>46186.5756944444</v>
      </c>
      <c r="H280" s="5" t="n">
        <v>46186.9090277778</v>
      </c>
      <c r="I280" s="4" t="n">
        <v>13</v>
      </c>
      <c r="J280" s="6" t="n">
        <v>6.6</v>
      </c>
      <c r="K280" s="6" t="n">
        <v>5.3</v>
      </c>
      <c r="L280" s="6" t="n">
        <v>12</v>
      </c>
      <c r="M280" s="6" t="n">
        <v>8</v>
      </c>
      <c r="N280" s="6" t="n">
        <v>31.9</v>
      </c>
    </row>
    <row r="281" customFormat="false" ht="15" hidden="false" customHeight="false" outlineLevel="0" collapsed="false">
      <c r="A281" s="4" t="s">
        <v>298</v>
      </c>
      <c r="B281" s="4" t="s">
        <v>24</v>
      </c>
      <c r="C281" s="4" t="s">
        <v>18</v>
      </c>
      <c r="D281" s="5" t="n">
        <v>46109.6972222222</v>
      </c>
      <c r="E281" s="5" t="n">
        <v>46110.6138888889</v>
      </c>
      <c r="F281" s="5" t="n">
        <v>46110.8263888889</v>
      </c>
      <c r="G281" s="5" t="n">
        <v>46111.3930555556</v>
      </c>
      <c r="H281" s="5" t="n">
        <v>46111.7597222222</v>
      </c>
      <c r="I281" s="4" t="n">
        <v>16</v>
      </c>
      <c r="J281" s="6" t="n">
        <v>22</v>
      </c>
      <c r="K281" s="6" t="n">
        <v>5.1</v>
      </c>
      <c r="L281" s="6" t="n">
        <v>13.6</v>
      </c>
      <c r="M281" s="6" t="n">
        <v>8.8</v>
      </c>
      <c r="N281" s="6" t="n">
        <v>49.5</v>
      </c>
    </row>
    <row r="282" customFormat="false" ht="15" hidden="false" customHeight="false" outlineLevel="0" collapsed="false">
      <c r="A282" s="4" t="s">
        <v>299</v>
      </c>
      <c r="B282" s="4" t="s">
        <v>20</v>
      </c>
      <c r="C282" s="4" t="s">
        <v>18</v>
      </c>
      <c r="D282" s="5" t="n">
        <v>46152.9097222222</v>
      </c>
      <c r="E282" s="5" t="n">
        <v>46153.8430555556</v>
      </c>
      <c r="F282" s="5" t="n">
        <v>46154.0847222222</v>
      </c>
      <c r="G282" s="5" t="n">
        <v>46154.5847222222</v>
      </c>
      <c r="H282" s="5" t="n">
        <v>46154.7847222222</v>
      </c>
      <c r="I282" s="4" t="n">
        <v>21</v>
      </c>
      <c r="J282" s="6" t="n">
        <v>22.4</v>
      </c>
      <c r="K282" s="6" t="n">
        <v>5.8</v>
      </c>
      <c r="L282" s="6" t="n">
        <v>12</v>
      </c>
      <c r="M282" s="6" t="n">
        <v>4.8</v>
      </c>
      <c r="N282" s="6" t="n">
        <v>45</v>
      </c>
    </row>
    <row r="283" customFormat="false" ht="15" hidden="false" customHeight="false" outlineLevel="0" collapsed="false">
      <c r="A283" s="4" t="s">
        <v>300</v>
      </c>
      <c r="B283" s="4" t="s">
        <v>20</v>
      </c>
      <c r="C283" s="4" t="s">
        <v>18</v>
      </c>
      <c r="D283" s="5" t="n">
        <v>46178.8826388889</v>
      </c>
      <c r="E283" s="5" t="n">
        <v>46179.9993055556</v>
      </c>
      <c r="F283" s="5" t="n">
        <v>46180.3118055556</v>
      </c>
      <c r="G283" s="5" t="n">
        <v>46180.8743055556</v>
      </c>
      <c r="H283" s="5" t="n">
        <v>46181.0909722222</v>
      </c>
      <c r="I283" s="4" t="n">
        <v>21</v>
      </c>
      <c r="J283" s="6" t="n">
        <v>26.8</v>
      </c>
      <c r="K283" s="6" t="n">
        <v>7.5</v>
      </c>
      <c r="L283" s="6" t="n">
        <v>13.5</v>
      </c>
      <c r="M283" s="6" t="n">
        <v>5.2</v>
      </c>
      <c r="N283" s="6" t="n">
        <v>53</v>
      </c>
    </row>
    <row r="284" customFormat="false" ht="15" hidden="false" customHeight="false" outlineLevel="0" collapsed="false">
      <c r="A284" s="4" t="s">
        <v>301</v>
      </c>
      <c r="B284" s="4" t="s">
        <v>17</v>
      </c>
      <c r="C284" s="4" t="s">
        <v>18</v>
      </c>
      <c r="D284" s="5" t="n">
        <v>46101.7944444444</v>
      </c>
      <c r="E284" s="5" t="n">
        <v>46102.9694444445</v>
      </c>
      <c r="F284" s="5" t="n">
        <v>46103.3861111111</v>
      </c>
      <c r="G284" s="5" t="n">
        <v>46103.6986111111</v>
      </c>
      <c r="H284" s="5" t="n">
        <v>46103.9277777778</v>
      </c>
      <c r="I284" s="4" t="n">
        <v>19</v>
      </c>
      <c r="J284" s="6" t="n">
        <v>28.2</v>
      </c>
      <c r="K284" s="6" t="n">
        <v>10</v>
      </c>
      <c r="L284" s="6" t="n">
        <v>7.5</v>
      </c>
      <c r="M284" s="6" t="n">
        <v>5.5</v>
      </c>
      <c r="N284" s="6" t="n">
        <v>51.2</v>
      </c>
    </row>
    <row r="285" customFormat="false" ht="15" hidden="false" customHeight="false" outlineLevel="0" collapsed="false">
      <c r="A285" s="4" t="s">
        <v>302</v>
      </c>
      <c r="B285" s="4" t="s">
        <v>17</v>
      </c>
      <c r="C285" s="4" t="s">
        <v>18</v>
      </c>
      <c r="D285" s="5" t="n">
        <v>46195.4354166667</v>
      </c>
      <c r="E285" s="5" t="n">
        <v>46195.8645833333</v>
      </c>
      <c r="F285" s="5" t="n">
        <v>46195.9770833333</v>
      </c>
      <c r="G285" s="5" t="n">
        <v>46196.55625</v>
      </c>
      <c r="H285" s="5" t="n">
        <v>46196.78125</v>
      </c>
      <c r="I285" s="4" t="n">
        <v>10</v>
      </c>
      <c r="J285" s="6" t="n">
        <v>10.3</v>
      </c>
      <c r="K285" s="6" t="n">
        <v>2.7</v>
      </c>
      <c r="L285" s="6" t="n">
        <v>13.9</v>
      </c>
      <c r="M285" s="6" t="n">
        <v>5.4</v>
      </c>
      <c r="N285" s="6" t="n">
        <v>32.3</v>
      </c>
    </row>
    <row r="286" customFormat="false" ht="15" hidden="false" customHeight="false" outlineLevel="0" collapsed="false">
      <c r="A286" s="4" t="s">
        <v>303</v>
      </c>
      <c r="B286" s="4" t="s">
        <v>20</v>
      </c>
      <c r="C286" s="4" t="s">
        <v>18</v>
      </c>
      <c r="D286" s="5" t="n">
        <v>46204.5847222222</v>
      </c>
      <c r="E286" s="5" t="n">
        <v>46205.7472222222</v>
      </c>
      <c r="F286" s="5" t="n">
        <v>46205.9805555556</v>
      </c>
      <c r="G286" s="5" t="n">
        <v>46206.5180555556</v>
      </c>
      <c r="H286" s="5" t="n">
        <v>46206.7597222222</v>
      </c>
      <c r="I286" s="4" t="n">
        <v>14</v>
      </c>
      <c r="J286" s="6" t="n">
        <v>27.9</v>
      </c>
      <c r="K286" s="6" t="n">
        <v>5.6</v>
      </c>
      <c r="L286" s="6" t="n">
        <v>12.9</v>
      </c>
      <c r="M286" s="6" t="n">
        <v>5.8</v>
      </c>
      <c r="N286" s="6" t="n">
        <v>52.2</v>
      </c>
    </row>
    <row r="287" customFormat="false" ht="15" hidden="false" customHeight="false" outlineLevel="0" collapsed="false">
      <c r="A287" s="4" t="s">
        <v>304</v>
      </c>
      <c r="B287" s="4" t="s">
        <v>17</v>
      </c>
      <c r="C287" s="4" t="s">
        <v>18</v>
      </c>
      <c r="D287" s="5" t="n">
        <v>46090.7236111111</v>
      </c>
      <c r="E287" s="5" t="n">
        <v>46091.6277777778</v>
      </c>
      <c r="F287" s="5" t="n">
        <v>46091.9652777778</v>
      </c>
      <c r="G287" s="5" t="n">
        <v>46092.3486111111</v>
      </c>
      <c r="H287" s="5" t="n">
        <v>46092.6194444444</v>
      </c>
      <c r="I287" s="4" t="n">
        <v>17</v>
      </c>
      <c r="J287" s="6" t="n">
        <v>21.7</v>
      </c>
      <c r="K287" s="6" t="n">
        <v>8.1</v>
      </c>
      <c r="L287" s="6" t="n">
        <v>9.2</v>
      </c>
      <c r="M287" s="6" t="n">
        <v>6.5</v>
      </c>
      <c r="N287" s="6" t="n">
        <v>45.5</v>
      </c>
    </row>
    <row r="288" customFormat="false" ht="15" hidden="false" customHeight="false" outlineLevel="0" collapsed="false">
      <c r="A288" s="4" t="s">
        <v>305</v>
      </c>
      <c r="B288" s="4" t="s">
        <v>17</v>
      </c>
      <c r="C288" s="4" t="s">
        <v>53</v>
      </c>
      <c r="D288" s="5" t="n">
        <v>46111.89375</v>
      </c>
      <c r="E288" s="5" t="n">
        <v>46112.7729166667</v>
      </c>
      <c r="F288" s="5" t="n">
        <v>46112.8979166667</v>
      </c>
      <c r="G288" s="5" t="n">
        <v>46113.1229166667</v>
      </c>
      <c r="H288" s="5" t="n">
        <v>46113.4229166667</v>
      </c>
      <c r="I288" s="4" t="n">
        <v>21</v>
      </c>
      <c r="J288" s="6" t="n">
        <v>21.1</v>
      </c>
      <c r="K288" s="6" t="n">
        <v>3</v>
      </c>
      <c r="L288" s="6" t="n">
        <v>5.4</v>
      </c>
      <c r="M288" s="6" t="n">
        <v>7.2</v>
      </c>
      <c r="N288" s="6" t="n">
        <v>36.7</v>
      </c>
    </row>
    <row r="289" customFormat="false" ht="15" hidden="false" customHeight="false" outlineLevel="0" collapsed="false">
      <c r="A289" s="4" t="s">
        <v>306</v>
      </c>
      <c r="B289" s="4" t="s">
        <v>17</v>
      </c>
      <c r="C289" s="4" t="s">
        <v>18</v>
      </c>
      <c r="D289" s="5" t="n">
        <v>46083.6006944445</v>
      </c>
      <c r="E289" s="5" t="n">
        <v>46084.6256944445</v>
      </c>
      <c r="F289" s="5" t="n">
        <v>46084.9923611111</v>
      </c>
      <c r="G289" s="5" t="n">
        <v>46085.4340277778</v>
      </c>
      <c r="H289" s="5" t="n">
        <v>46085.5631944445</v>
      </c>
      <c r="I289" s="4" t="n">
        <v>14</v>
      </c>
      <c r="J289" s="6" t="n">
        <v>24.6</v>
      </c>
      <c r="K289" s="6" t="n">
        <v>8.8</v>
      </c>
      <c r="L289" s="6" t="n">
        <v>10.6</v>
      </c>
      <c r="M289" s="6" t="n">
        <v>3.1</v>
      </c>
      <c r="N289" s="6" t="n">
        <v>47.1</v>
      </c>
    </row>
    <row r="290" customFormat="false" ht="15" hidden="false" customHeight="false" outlineLevel="0" collapsed="false">
      <c r="A290" s="4" t="s">
        <v>307</v>
      </c>
      <c r="B290" s="4" t="s">
        <v>24</v>
      </c>
      <c r="C290" s="4" t="s">
        <v>18</v>
      </c>
      <c r="D290" s="5" t="n">
        <v>46102.5868055556</v>
      </c>
      <c r="E290" s="5" t="n">
        <v>46103.4701388889</v>
      </c>
      <c r="F290" s="5" t="n">
        <v>46103.9451388889</v>
      </c>
      <c r="G290" s="5" t="n">
        <v>46104.1368055556</v>
      </c>
      <c r="H290" s="5" t="n">
        <v>46104.3118055556</v>
      </c>
      <c r="I290" s="4" t="n">
        <v>14</v>
      </c>
      <c r="J290" s="6" t="n">
        <v>21.2</v>
      </c>
      <c r="K290" s="6" t="n">
        <v>11.4</v>
      </c>
      <c r="L290" s="6" t="n">
        <v>4.6</v>
      </c>
      <c r="M290" s="6" t="n">
        <v>4.2</v>
      </c>
      <c r="N290" s="6" t="n">
        <v>41.4</v>
      </c>
    </row>
    <row r="291" customFormat="false" ht="15" hidden="false" customHeight="false" outlineLevel="0" collapsed="false">
      <c r="A291" s="4" t="s">
        <v>308</v>
      </c>
      <c r="B291" s="4" t="s">
        <v>17</v>
      </c>
      <c r="C291" s="4" t="s">
        <v>18</v>
      </c>
      <c r="D291" s="5" t="n">
        <v>46150.5458333333</v>
      </c>
      <c r="E291" s="5" t="n">
        <v>46150.8583333333</v>
      </c>
      <c r="F291" s="5" t="n">
        <v>46151.2333333333</v>
      </c>
      <c r="G291" s="5" t="n">
        <v>46151.5041666667</v>
      </c>
      <c r="H291" s="5" t="n">
        <v>46151.675</v>
      </c>
      <c r="I291" s="4" t="n">
        <v>13</v>
      </c>
      <c r="J291" s="6" t="n">
        <v>7.5</v>
      </c>
      <c r="K291" s="6" t="n">
        <v>9</v>
      </c>
      <c r="L291" s="6" t="n">
        <v>6.5</v>
      </c>
      <c r="M291" s="6" t="n">
        <v>4.1</v>
      </c>
      <c r="N291" s="6" t="n">
        <v>27.1</v>
      </c>
    </row>
    <row r="292" customFormat="false" ht="15" hidden="false" customHeight="false" outlineLevel="0" collapsed="false">
      <c r="A292" s="4" t="s">
        <v>309</v>
      </c>
      <c r="B292" s="4" t="s">
        <v>24</v>
      </c>
      <c r="C292" s="4" t="s">
        <v>18</v>
      </c>
      <c r="D292" s="5" t="n">
        <v>46114.7381944444</v>
      </c>
      <c r="E292" s="5" t="n">
        <v>46115.9048611111</v>
      </c>
      <c r="F292" s="5" t="n">
        <v>46116.3756944445</v>
      </c>
      <c r="G292" s="5" t="n">
        <v>46116.8381944444</v>
      </c>
      <c r="H292" s="5" t="n">
        <v>46117.0715277778</v>
      </c>
      <c r="I292" s="4" t="n">
        <v>17</v>
      </c>
      <c r="J292" s="6" t="n">
        <v>28</v>
      </c>
      <c r="K292" s="6" t="n">
        <v>11.3</v>
      </c>
      <c r="L292" s="6" t="n">
        <v>11.1</v>
      </c>
      <c r="M292" s="6" t="n">
        <v>5.6</v>
      </c>
      <c r="N292" s="6" t="n">
        <v>56</v>
      </c>
    </row>
    <row r="293" customFormat="false" ht="15" hidden="false" customHeight="false" outlineLevel="0" collapsed="false">
      <c r="A293" s="4" t="s">
        <v>310</v>
      </c>
      <c r="B293" s="4" t="s">
        <v>17</v>
      </c>
      <c r="C293" s="4" t="s">
        <v>18</v>
      </c>
      <c r="D293" s="5" t="n">
        <v>46136.8430555556</v>
      </c>
      <c r="E293" s="5" t="n">
        <v>46138.0097222222</v>
      </c>
      <c r="F293" s="5" t="n">
        <v>46138.3555555556</v>
      </c>
      <c r="G293" s="5" t="n">
        <v>46138.5680555556</v>
      </c>
      <c r="H293" s="5" t="n">
        <v>46138.8430555556</v>
      </c>
      <c r="I293" s="4" t="n">
        <v>20</v>
      </c>
      <c r="J293" s="6" t="n">
        <v>28</v>
      </c>
      <c r="K293" s="6" t="n">
        <v>8.3</v>
      </c>
      <c r="L293" s="6" t="n">
        <v>5.1</v>
      </c>
      <c r="M293" s="6" t="n">
        <v>6.6</v>
      </c>
      <c r="N293" s="6" t="n">
        <v>48</v>
      </c>
    </row>
    <row r="294" customFormat="false" ht="15" hidden="false" customHeight="false" outlineLevel="0" collapsed="false">
      <c r="A294" s="4" t="s">
        <v>311</v>
      </c>
      <c r="B294" s="4" t="s">
        <v>20</v>
      </c>
      <c r="C294" s="4" t="s">
        <v>35</v>
      </c>
      <c r="D294" s="5" t="n">
        <v>46077.6020833333</v>
      </c>
      <c r="E294" s="5" t="n">
        <v>46078.5979166667</v>
      </c>
      <c r="F294" s="5" t="n">
        <v>46078.9729166667</v>
      </c>
      <c r="G294" s="5" t="n">
        <v>46079.19375</v>
      </c>
      <c r="H294" s="5" t="n">
        <v>46079.4979166667</v>
      </c>
      <c r="I294" s="4" t="n">
        <v>14</v>
      </c>
      <c r="J294" s="6" t="n">
        <v>23.9</v>
      </c>
      <c r="K294" s="6" t="n">
        <v>9</v>
      </c>
      <c r="L294" s="6" t="n">
        <v>5.3</v>
      </c>
      <c r="M294" s="6" t="n">
        <v>7.3</v>
      </c>
      <c r="N294" s="6" t="n">
        <v>45.5</v>
      </c>
    </row>
    <row r="295" customFormat="false" ht="15" hidden="false" customHeight="false" outlineLevel="0" collapsed="false">
      <c r="A295" s="4" t="s">
        <v>312</v>
      </c>
      <c r="B295" s="4" t="s">
        <v>24</v>
      </c>
      <c r="C295" s="4" t="s">
        <v>18</v>
      </c>
      <c r="D295" s="5" t="n">
        <v>46053.8152777778</v>
      </c>
      <c r="E295" s="5" t="n">
        <v>46054.7277777778</v>
      </c>
      <c r="F295" s="5" t="n">
        <v>46054.9486111111</v>
      </c>
      <c r="G295" s="5" t="n">
        <v>46055.2819444445</v>
      </c>
      <c r="H295" s="5" t="n">
        <v>46055.4402777778</v>
      </c>
      <c r="I295" s="4" t="n">
        <v>19</v>
      </c>
      <c r="J295" s="6" t="n">
        <v>21.9</v>
      </c>
      <c r="K295" s="6" t="n">
        <v>5.3</v>
      </c>
      <c r="L295" s="6" t="n">
        <v>8</v>
      </c>
      <c r="M295" s="6" t="n">
        <v>3.8</v>
      </c>
      <c r="N295" s="6" t="n">
        <v>39</v>
      </c>
    </row>
    <row r="296" customFormat="false" ht="15" hidden="false" customHeight="false" outlineLevel="0" collapsed="false">
      <c r="A296" s="4" t="s">
        <v>313</v>
      </c>
      <c r="B296" s="4" t="s">
        <v>24</v>
      </c>
      <c r="C296" s="4" t="s">
        <v>18</v>
      </c>
      <c r="D296" s="5" t="n">
        <v>46190.5583333333</v>
      </c>
      <c r="E296" s="5" t="n">
        <v>46190.9291666667</v>
      </c>
      <c r="F296" s="5" t="n">
        <v>46191.2583333333</v>
      </c>
      <c r="G296" s="5" t="n">
        <v>46191.5416666667</v>
      </c>
      <c r="H296" s="5" t="n">
        <v>46191.8708333333</v>
      </c>
      <c r="I296" s="4" t="n">
        <v>13</v>
      </c>
      <c r="J296" s="6" t="n">
        <v>8.9</v>
      </c>
      <c r="K296" s="6" t="n">
        <v>7.9</v>
      </c>
      <c r="L296" s="6" t="n">
        <v>6.8</v>
      </c>
      <c r="M296" s="6" t="n">
        <v>7.9</v>
      </c>
      <c r="N296" s="6" t="n">
        <v>31.5</v>
      </c>
    </row>
    <row r="297" customFormat="false" ht="15" hidden="false" customHeight="false" outlineLevel="0" collapsed="false">
      <c r="A297" s="4" t="s">
        <v>314</v>
      </c>
      <c r="B297" s="4" t="s">
        <v>17</v>
      </c>
      <c r="C297" s="4" t="s">
        <v>35</v>
      </c>
      <c r="D297" s="5" t="n">
        <v>46103.8590277778</v>
      </c>
      <c r="E297" s="5" t="n">
        <v>46104.7256944445</v>
      </c>
      <c r="F297" s="5" t="n">
        <v>46104.8631944444</v>
      </c>
      <c r="G297" s="5" t="n">
        <v>46105.0423611111</v>
      </c>
      <c r="H297" s="5" t="n">
        <v>46105.2131944444</v>
      </c>
      <c r="I297" s="4" t="n">
        <v>20</v>
      </c>
      <c r="J297" s="6" t="n">
        <v>20.8</v>
      </c>
      <c r="K297" s="6" t="n">
        <v>3.3</v>
      </c>
      <c r="L297" s="6" t="n">
        <v>4.3</v>
      </c>
      <c r="M297" s="6" t="n">
        <v>4.1</v>
      </c>
      <c r="N297" s="6" t="n">
        <v>32.5</v>
      </c>
    </row>
    <row r="298" customFormat="false" ht="15" hidden="false" customHeight="false" outlineLevel="0" collapsed="false">
      <c r="A298" s="4" t="s">
        <v>315</v>
      </c>
      <c r="B298" s="4" t="s">
        <v>20</v>
      </c>
      <c r="C298" s="4" t="s">
        <v>18</v>
      </c>
      <c r="D298" s="5" t="n">
        <v>46157.5680555556</v>
      </c>
      <c r="E298" s="5" t="n">
        <v>46157.7805555556</v>
      </c>
      <c r="F298" s="5" t="n">
        <v>46158.0222222222</v>
      </c>
      <c r="G298" s="5" t="n">
        <v>46158.2305555556</v>
      </c>
      <c r="H298" s="5" t="n">
        <v>46158.4972222222</v>
      </c>
      <c r="I298" s="4" t="n">
        <v>13</v>
      </c>
      <c r="J298" s="6" t="n">
        <v>5.1</v>
      </c>
      <c r="K298" s="6" t="n">
        <v>5.8</v>
      </c>
      <c r="L298" s="6" t="n">
        <v>5</v>
      </c>
      <c r="M298" s="6" t="n">
        <v>6.4</v>
      </c>
      <c r="N298" s="6" t="n">
        <v>22.3</v>
      </c>
    </row>
    <row r="299" customFormat="false" ht="15" hidden="false" customHeight="false" outlineLevel="0" collapsed="false">
      <c r="A299" s="4" t="s">
        <v>316</v>
      </c>
      <c r="B299" s="4" t="s">
        <v>17</v>
      </c>
      <c r="C299" s="4" t="s">
        <v>18</v>
      </c>
      <c r="D299" s="5" t="n">
        <v>46071.6465277778</v>
      </c>
      <c r="E299" s="5" t="n">
        <v>46072.6006944445</v>
      </c>
      <c r="F299" s="5" t="n">
        <v>46072.7631944444</v>
      </c>
      <c r="G299" s="5" t="n">
        <v>46073.2756944444</v>
      </c>
      <c r="H299" s="5" t="n">
        <v>46073.5381944445</v>
      </c>
      <c r="I299" s="4" t="n">
        <v>15</v>
      </c>
      <c r="J299" s="6" t="n">
        <v>22.9</v>
      </c>
      <c r="K299" s="6" t="n">
        <v>3.9</v>
      </c>
      <c r="L299" s="6" t="n">
        <v>12.3</v>
      </c>
      <c r="M299" s="6" t="n">
        <v>6.3</v>
      </c>
      <c r="N299" s="6" t="n">
        <v>45.4</v>
      </c>
    </row>
    <row r="300" customFormat="false" ht="15" hidden="false" customHeight="false" outlineLevel="0" collapsed="false">
      <c r="A300" s="4" t="s">
        <v>317</v>
      </c>
      <c r="B300" s="4" t="s">
        <v>24</v>
      </c>
      <c r="C300" s="4" t="s">
        <v>53</v>
      </c>
      <c r="D300" s="5" t="n">
        <v>46151.4527777778</v>
      </c>
      <c r="E300" s="5" t="n">
        <v>46151.7486111111</v>
      </c>
      <c r="F300" s="5" t="n">
        <v>46152.0652777778</v>
      </c>
      <c r="G300" s="5" t="n">
        <v>46152.4902777778</v>
      </c>
      <c r="H300" s="5" t="n">
        <v>46152.6944444445</v>
      </c>
      <c r="I300" s="4" t="n">
        <v>10</v>
      </c>
      <c r="J300" s="6" t="n">
        <v>7.1</v>
      </c>
      <c r="K300" s="6" t="n">
        <v>7.6</v>
      </c>
      <c r="L300" s="6" t="n">
        <v>10.2</v>
      </c>
      <c r="M300" s="6" t="n">
        <v>4.9</v>
      </c>
      <c r="N300" s="6" t="n">
        <v>29.8</v>
      </c>
    </row>
    <row r="301" customFormat="false" ht="15" hidden="false" customHeight="false" outlineLevel="0" collapsed="false">
      <c r="A301" s="4" t="s">
        <v>318</v>
      </c>
      <c r="B301" s="4" t="s">
        <v>17</v>
      </c>
      <c r="C301" s="4" t="s">
        <v>35</v>
      </c>
      <c r="D301" s="5" t="n">
        <v>46140.6284722222</v>
      </c>
      <c r="E301" s="5" t="n">
        <v>46141.6993055556</v>
      </c>
      <c r="F301" s="5" t="n">
        <v>46142.1159722222</v>
      </c>
      <c r="G301" s="5" t="n">
        <v>46142.3409722222</v>
      </c>
      <c r="H301" s="5" t="n">
        <v>46142.4326388889</v>
      </c>
      <c r="I301" s="4" t="n">
        <v>15</v>
      </c>
      <c r="J301" s="6" t="n">
        <v>25.7</v>
      </c>
      <c r="K301" s="6" t="n">
        <v>10</v>
      </c>
      <c r="L301" s="6" t="n">
        <v>5.4</v>
      </c>
      <c r="M301" s="6" t="n">
        <v>2.2</v>
      </c>
      <c r="N301" s="6" t="n">
        <v>43.3</v>
      </c>
    </row>
    <row r="302" customFormat="false" ht="15" hidden="false" customHeight="false" outlineLevel="0" collapsed="false">
      <c r="A302" s="4" t="s">
        <v>319</v>
      </c>
      <c r="B302" s="4" t="s">
        <v>20</v>
      </c>
      <c r="C302" s="4" t="s">
        <v>18</v>
      </c>
      <c r="D302" s="5" t="n">
        <v>46144.6590277778</v>
      </c>
      <c r="E302" s="5" t="n">
        <v>46145.8131944445</v>
      </c>
      <c r="F302" s="5" t="n">
        <v>46146.1256944445</v>
      </c>
      <c r="G302" s="5" t="n">
        <v>46146.3006944444</v>
      </c>
      <c r="H302" s="5" t="n">
        <v>46146.4173611111</v>
      </c>
      <c r="I302" s="4" t="n">
        <v>15</v>
      </c>
      <c r="J302" s="6" t="n">
        <v>27.7</v>
      </c>
      <c r="K302" s="6" t="n">
        <v>7.5</v>
      </c>
      <c r="L302" s="6" t="n">
        <v>4.2</v>
      </c>
      <c r="M302" s="6" t="n">
        <v>2.8</v>
      </c>
      <c r="N302" s="6" t="n">
        <v>42.2</v>
      </c>
    </row>
    <row r="303" customFormat="false" ht="15" hidden="false" customHeight="false" outlineLevel="0" collapsed="false">
      <c r="A303" s="4" t="s">
        <v>320</v>
      </c>
      <c r="B303" s="4" t="s">
        <v>24</v>
      </c>
      <c r="C303" s="4" t="s">
        <v>35</v>
      </c>
      <c r="D303" s="5" t="n">
        <v>46120.6583333333</v>
      </c>
      <c r="E303" s="5" t="n">
        <v>46121.5083333333</v>
      </c>
      <c r="F303" s="5" t="n">
        <v>46121.8916666667</v>
      </c>
      <c r="G303" s="5" t="n">
        <v>46122.2666666667</v>
      </c>
      <c r="H303" s="5" t="n">
        <v>46122.6375</v>
      </c>
      <c r="I303" s="4" t="n">
        <v>15</v>
      </c>
      <c r="J303" s="6" t="n">
        <v>20.4</v>
      </c>
      <c r="K303" s="6" t="n">
        <v>9.2</v>
      </c>
      <c r="L303" s="6" t="n">
        <v>9</v>
      </c>
      <c r="M303" s="6" t="n">
        <v>8.9</v>
      </c>
      <c r="N303" s="6" t="n">
        <v>47.5</v>
      </c>
    </row>
    <row r="304" customFormat="false" ht="15" hidden="false" customHeight="false" outlineLevel="0" collapsed="false">
      <c r="A304" s="4" t="s">
        <v>321</v>
      </c>
      <c r="B304" s="4" t="s">
        <v>20</v>
      </c>
      <c r="C304" s="4" t="s">
        <v>35</v>
      </c>
      <c r="D304" s="5" t="n">
        <v>46090.5013888889</v>
      </c>
      <c r="E304" s="5" t="n">
        <v>46090.8180555556</v>
      </c>
      <c r="F304" s="5" t="n">
        <v>46091.0472222222</v>
      </c>
      <c r="G304" s="5" t="n">
        <v>46091.5472222222</v>
      </c>
      <c r="H304" s="5" t="n">
        <v>46091.7597222222</v>
      </c>
      <c r="I304" s="4" t="n">
        <v>12</v>
      </c>
      <c r="J304" s="6" t="n">
        <v>7.6</v>
      </c>
      <c r="K304" s="6" t="n">
        <v>5.5</v>
      </c>
      <c r="L304" s="6" t="n">
        <v>12</v>
      </c>
      <c r="M304" s="6" t="n">
        <v>5.1</v>
      </c>
      <c r="N304" s="6" t="n">
        <v>30.2</v>
      </c>
    </row>
    <row r="305" customFormat="false" ht="15" hidden="false" customHeight="false" outlineLevel="0" collapsed="false">
      <c r="A305" s="4" t="s">
        <v>322</v>
      </c>
      <c r="B305" s="4" t="s">
        <v>24</v>
      </c>
      <c r="C305" s="4" t="s">
        <v>35</v>
      </c>
      <c r="D305" s="5" t="n">
        <v>46087.4909722222</v>
      </c>
      <c r="E305" s="5" t="n">
        <v>46087.8534722222</v>
      </c>
      <c r="F305" s="5" t="n">
        <v>46088.0826388889</v>
      </c>
      <c r="G305" s="5" t="n">
        <v>46088.5326388889</v>
      </c>
      <c r="H305" s="5" t="n">
        <v>46088.7993055556</v>
      </c>
      <c r="I305" s="4" t="n">
        <v>11</v>
      </c>
      <c r="J305" s="6" t="n">
        <v>8.7</v>
      </c>
      <c r="K305" s="6" t="n">
        <v>5.5</v>
      </c>
      <c r="L305" s="6" t="n">
        <v>10.8</v>
      </c>
      <c r="M305" s="6" t="n">
        <v>6.4</v>
      </c>
      <c r="N305" s="6" t="n">
        <v>31.4</v>
      </c>
    </row>
    <row r="306" customFormat="false" ht="15" hidden="false" customHeight="false" outlineLevel="0" collapsed="false">
      <c r="A306" s="4" t="s">
        <v>323</v>
      </c>
      <c r="B306" s="4" t="s">
        <v>20</v>
      </c>
      <c r="C306" s="4" t="s">
        <v>18</v>
      </c>
      <c r="D306" s="5" t="n">
        <v>46079.8270833333</v>
      </c>
      <c r="E306" s="5" t="n">
        <v>46080.6854166667</v>
      </c>
      <c r="F306" s="5" t="n">
        <v>46080.9145833333</v>
      </c>
      <c r="G306" s="5" t="n">
        <v>46081.16875</v>
      </c>
      <c r="H306" s="5" t="n">
        <v>46081.4104166667</v>
      </c>
      <c r="I306" s="4" t="n">
        <v>19</v>
      </c>
      <c r="J306" s="6" t="n">
        <v>20.6</v>
      </c>
      <c r="K306" s="6" t="n">
        <v>5.5</v>
      </c>
      <c r="L306" s="6" t="n">
        <v>6.1</v>
      </c>
      <c r="M306" s="6" t="n">
        <v>5.8</v>
      </c>
      <c r="N306" s="6" t="n">
        <v>38</v>
      </c>
    </row>
    <row r="307" customFormat="false" ht="15" hidden="false" customHeight="false" outlineLevel="0" collapsed="false">
      <c r="A307" s="4" t="s">
        <v>324</v>
      </c>
      <c r="B307" s="4" t="s">
        <v>20</v>
      </c>
      <c r="C307" s="4" t="s">
        <v>35</v>
      </c>
      <c r="D307" s="5" t="n">
        <v>46101.7041666667</v>
      </c>
      <c r="E307" s="5" t="n">
        <v>46102.75</v>
      </c>
      <c r="F307" s="5" t="n">
        <v>46103.2083333333</v>
      </c>
      <c r="G307" s="5" t="n">
        <v>46103.7083333333</v>
      </c>
      <c r="H307" s="5" t="n">
        <v>46103.8291666667</v>
      </c>
      <c r="I307" s="4" t="n">
        <v>16</v>
      </c>
      <c r="J307" s="6" t="n">
        <v>25.1</v>
      </c>
      <c r="K307" s="6" t="n">
        <v>11</v>
      </c>
      <c r="L307" s="6" t="n">
        <v>12</v>
      </c>
      <c r="M307" s="6" t="n">
        <v>2.9</v>
      </c>
      <c r="N307" s="6" t="n">
        <v>51</v>
      </c>
    </row>
    <row r="308" customFormat="false" ht="15" hidden="false" customHeight="false" outlineLevel="0" collapsed="false">
      <c r="A308" s="4" t="s">
        <v>325</v>
      </c>
      <c r="B308" s="4" t="s">
        <v>24</v>
      </c>
      <c r="C308" s="4" t="s">
        <v>18</v>
      </c>
      <c r="D308" s="5" t="n">
        <v>46042.9131944445</v>
      </c>
      <c r="E308" s="5" t="n">
        <v>46044.0215277778</v>
      </c>
      <c r="F308" s="5" t="n">
        <v>46044.3965277778</v>
      </c>
      <c r="G308" s="5" t="n">
        <v>46044.5840277778</v>
      </c>
      <c r="H308" s="5" t="n">
        <v>46044.7090277778</v>
      </c>
      <c r="I308" s="4" t="n">
        <v>21</v>
      </c>
      <c r="J308" s="6" t="n">
        <v>26.6</v>
      </c>
      <c r="K308" s="6" t="n">
        <v>9</v>
      </c>
      <c r="L308" s="6" t="n">
        <v>4.5</v>
      </c>
      <c r="M308" s="6" t="n">
        <v>3</v>
      </c>
      <c r="N308" s="6" t="n">
        <v>43.1</v>
      </c>
    </row>
    <row r="309" customFormat="false" ht="15" hidden="false" customHeight="false" outlineLevel="0" collapsed="false">
      <c r="A309" s="4" t="s">
        <v>326</v>
      </c>
      <c r="B309" s="4" t="s">
        <v>20</v>
      </c>
      <c r="C309" s="4" t="s">
        <v>18</v>
      </c>
      <c r="D309" s="5" t="n">
        <v>46200.5895833333</v>
      </c>
      <c r="E309" s="5" t="n">
        <v>46201.6645833333</v>
      </c>
      <c r="F309" s="5" t="n">
        <v>46201.8604166667</v>
      </c>
      <c r="G309" s="5" t="n">
        <v>46202.1770833333</v>
      </c>
      <c r="H309" s="5" t="n">
        <v>46202.39375</v>
      </c>
      <c r="I309" s="4" t="n">
        <v>14</v>
      </c>
      <c r="J309" s="6" t="n">
        <v>25.8</v>
      </c>
      <c r="K309" s="6" t="n">
        <v>4.7</v>
      </c>
      <c r="L309" s="6" t="n">
        <v>7.6</v>
      </c>
      <c r="M309" s="6" t="n">
        <v>5.2</v>
      </c>
      <c r="N309" s="6" t="n">
        <v>43.3</v>
      </c>
    </row>
    <row r="310" customFormat="false" ht="15" hidden="false" customHeight="false" outlineLevel="0" collapsed="false">
      <c r="A310" s="4" t="s">
        <v>327</v>
      </c>
      <c r="B310" s="4" t="s">
        <v>17</v>
      </c>
      <c r="C310" s="4" t="s">
        <v>35</v>
      </c>
      <c r="D310" s="5" t="n">
        <v>46050.6159722222</v>
      </c>
      <c r="E310" s="5" t="n">
        <v>46051.5659722222</v>
      </c>
      <c r="F310" s="5" t="n">
        <v>46052.0409722222</v>
      </c>
      <c r="G310" s="5" t="n">
        <v>46052.3368055556</v>
      </c>
      <c r="H310" s="5" t="n">
        <v>46052.6993055556</v>
      </c>
      <c r="I310" s="4" t="n">
        <v>14</v>
      </c>
      <c r="J310" s="6" t="n">
        <v>22.8</v>
      </c>
      <c r="K310" s="6" t="n">
        <v>11.4</v>
      </c>
      <c r="L310" s="6" t="n">
        <v>7.1</v>
      </c>
      <c r="M310" s="6" t="n">
        <v>8.7</v>
      </c>
      <c r="N310" s="6" t="n">
        <v>50</v>
      </c>
    </row>
    <row r="311" customFormat="false" ht="15" hidden="false" customHeight="false" outlineLevel="0" collapsed="false">
      <c r="A311" s="4" t="s">
        <v>328</v>
      </c>
      <c r="B311" s="4" t="s">
        <v>20</v>
      </c>
      <c r="C311" s="4" t="s">
        <v>18</v>
      </c>
      <c r="D311" s="5" t="n">
        <v>46050.7701388889</v>
      </c>
      <c r="E311" s="5" t="n">
        <v>46051.8659722222</v>
      </c>
      <c r="F311" s="5" t="n">
        <v>46052.2409722222</v>
      </c>
      <c r="G311" s="5" t="n">
        <v>46052.7576388889</v>
      </c>
      <c r="H311" s="5" t="n">
        <v>46053.0743055556</v>
      </c>
      <c r="I311" s="4" t="n">
        <v>18</v>
      </c>
      <c r="J311" s="6" t="n">
        <v>26.3</v>
      </c>
      <c r="K311" s="6" t="n">
        <v>9</v>
      </c>
      <c r="L311" s="6" t="n">
        <v>12.4</v>
      </c>
      <c r="M311" s="6" t="n">
        <v>7.6</v>
      </c>
      <c r="N311" s="6" t="n">
        <v>55.3</v>
      </c>
    </row>
    <row r="312" customFormat="false" ht="15" hidden="false" customHeight="false" outlineLevel="0" collapsed="false">
      <c r="A312" s="4" t="s">
        <v>329</v>
      </c>
      <c r="B312" s="4" t="s">
        <v>20</v>
      </c>
      <c r="C312" s="4" t="s">
        <v>53</v>
      </c>
      <c r="D312" s="5" t="n">
        <v>46081.6388888889</v>
      </c>
      <c r="E312" s="5" t="n">
        <v>46082.8180555556</v>
      </c>
      <c r="F312" s="5" t="n">
        <v>46083.0430555556</v>
      </c>
      <c r="G312" s="5" t="n">
        <v>46083.4347222222</v>
      </c>
      <c r="H312" s="5" t="n">
        <v>46083.6847222222</v>
      </c>
      <c r="I312" s="4" t="n">
        <v>15</v>
      </c>
      <c r="J312" s="6" t="n">
        <v>28.3</v>
      </c>
      <c r="K312" s="6" t="n">
        <v>5.4</v>
      </c>
      <c r="L312" s="6" t="n">
        <v>9.4</v>
      </c>
      <c r="M312" s="6" t="n">
        <v>6</v>
      </c>
      <c r="N312" s="6" t="n">
        <v>49.1</v>
      </c>
    </row>
    <row r="313" customFormat="false" ht="15" hidden="false" customHeight="false" outlineLevel="0" collapsed="false">
      <c r="A313" s="4" t="s">
        <v>330</v>
      </c>
      <c r="B313" s="4" t="s">
        <v>17</v>
      </c>
      <c r="C313" s="4" t="s">
        <v>18</v>
      </c>
      <c r="D313" s="5" t="n">
        <v>46201.7513888889</v>
      </c>
      <c r="E313" s="5" t="n">
        <v>46202.6263888889</v>
      </c>
      <c r="F313" s="5" t="n">
        <v>46203.0347222222</v>
      </c>
      <c r="G313" s="5" t="n">
        <v>46203.3722222222</v>
      </c>
      <c r="H313" s="5" t="n">
        <v>46203.4930555556</v>
      </c>
      <c r="I313" s="4" t="n">
        <v>18</v>
      </c>
      <c r="J313" s="6" t="n">
        <v>21</v>
      </c>
      <c r="K313" s="6" t="n">
        <v>9.8</v>
      </c>
      <c r="L313" s="6" t="n">
        <v>8.1</v>
      </c>
      <c r="M313" s="6" t="n">
        <v>2.9</v>
      </c>
      <c r="N313" s="6" t="n">
        <v>41.8</v>
      </c>
    </row>
    <row r="314" customFormat="false" ht="15" hidden="false" customHeight="false" outlineLevel="0" collapsed="false">
      <c r="A314" s="4" t="s">
        <v>331</v>
      </c>
      <c r="B314" s="4" t="s">
        <v>24</v>
      </c>
      <c r="C314" s="4" t="s">
        <v>18</v>
      </c>
      <c r="D314" s="5" t="n">
        <v>46027.89375</v>
      </c>
      <c r="E314" s="5" t="n">
        <v>46028.8104166667</v>
      </c>
      <c r="F314" s="5" t="n">
        <v>46029.18125</v>
      </c>
      <c r="G314" s="5" t="n">
        <v>46029.36875</v>
      </c>
      <c r="H314" s="5" t="n">
        <v>46029.6395833333</v>
      </c>
      <c r="I314" s="4" t="n">
        <v>21</v>
      </c>
      <c r="J314" s="6" t="n">
        <v>22</v>
      </c>
      <c r="K314" s="6" t="n">
        <v>8.9</v>
      </c>
      <c r="L314" s="6" t="n">
        <v>4.5</v>
      </c>
      <c r="M314" s="6" t="n">
        <v>6.5</v>
      </c>
      <c r="N314" s="6" t="n">
        <v>41.9</v>
      </c>
    </row>
    <row r="315" customFormat="false" ht="15" hidden="false" customHeight="false" outlineLevel="0" collapsed="false">
      <c r="A315" s="4" t="s">
        <v>332</v>
      </c>
      <c r="B315" s="4" t="s">
        <v>20</v>
      </c>
      <c r="C315" s="4" t="s">
        <v>53</v>
      </c>
      <c r="D315" s="5" t="n">
        <v>46097.3909722222</v>
      </c>
      <c r="E315" s="5" t="n">
        <v>46097.5368055556</v>
      </c>
      <c r="F315" s="5" t="n">
        <v>46097.7743055556</v>
      </c>
      <c r="G315" s="5" t="n">
        <v>46098.3118055556</v>
      </c>
      <c r="H315" s="5" t="n">
        <v>46098.4451388889</v>
      </c>
      <c r="I315" s="4" t="n">
        <v>9</v>
      </c>
      <c r="J315" s="6" t="n">
        <v>3.5</v>
      </c>
      <c r="K315" s="6" t="n">
        <v>5.7</v>
      </c>
      <c r="L315" s="6" t="n">
        <v>12.9</v>
      </c>
      <c r="M315" s="6" t="n">
        <v>3.2</v>
      </c>
      <c r="N315" s="6" t="n">
        <v>25.3</v>
      </c>
    </row>
    <row r="316" customFormat="false" ht="15" hidden="false" customHeight="false" outlineLevel="0" collapsed="false">
      <c r="A316" s="4" t="s">
        <v>333</v>
      </c>
      <c r="B316" s="4" t="s">
        <v>20</v>
      </c>
      <c r="C316" s="4" t="s">
        <v>18</v>
      </c>
      <c r="D316" s="5" t="n">
        <v>46206.76875</v>
      </c>
      <c r="E316" s="5" t="n">
        <v>46207.8770833333</v>
      </c>
      <c r="F316" s="5" t="n">
        <v>46208.2520833333</v>
      </c>
      <c r="G316" s="5" t="n">
        <v>46208.3770833333</v>
      </c>
      <c r="H316" s="5" t="n">
        <v>46208.5979166667</v>
      </c>
      <c r="I316" s="4" t="n">
        <v>18</v>
      </c>
      <c r="J316" s="6" t="n">
        <v>26.6</v>
      </c>
      <c r="K316" s="6" t="n">
        <v>9</v>
      </c>
      <c r="L316" s="6" t="n">
        <v>3</v>
      </c>
      <c r="M316" s="6" t="n">
        <v>5.3</v>
      </c>
      <c r="N316" s="6" t="n">
        <v>43.9</v>
      </c>
    </row>
    <row r="317" customFormat="false" ht="15" hidden="false" customHeight="false" outlineLevel="0" collapsed="false">
      <c r="A317" s="4" t="s">
        <v>334</v>
      </c>
      <c r="B317" s="4" t="s">
        <v>20</v>
      </c>
      <c r="C317" s="4" t="s">
        <v>18</v>
      </c>
      <c r="D317" s="5" t="n">
        <v>46201.5833333333</v>
      </c>
      <c r="E317" s="5" t="n">
        <v>46202.7083333333</v>
      </c>
      <c r="F317" s="5" t="n">
        <v>46203.1333333333</v>
      </c>
      <c r="G317" s="5" t="n">
        <v>46203.7125</v>
      </c>
      <c r="H317" s="5" t="n">
        <v>46203.9208333333</v>
      </c>
      <c r="I317" s="4" t="n">
        <v>14</v>
      </c>
      <c r="J317" s="6" t="n">
        <v>27</v>
      </c>
      <c r="K317" s="6" t="n">
        <v>10.2</v>
      </c>
      <c r="L317" s="6" t="n">
        <v>13.9</v>
      </c>
      <c r="M317" s="6" t="n">
        <v>5</v>
      </c>
      <c r="N317" s="6" t="n">
        <v>56.1</v>
      </c>
    </row>
    <row r="318" customFormat="false" ht="15" hidden="false" customHeight="false" outlineLevel="0" collapsed="false">
      <c r="A318" s="4" t="s">
        <v>335</v>
      </c>
      <c r="B318" s="4" t="s">
        <v>20</v>
      </c>
      <c r="C318" s="4" t="s">
        <v>18</v>
      </c>
      <c r="D318" s="5" t="n">
        <v>46125.4104166667</v>
      </c>
      <c r="E318" s="5" t="n">
        <v>46125.51875</v>
      </c>
      <c r="F318" s="5" t="n">
        <v>46125.73125</v>
      </c>
      <c r="G318" s="5" t="n">
        <v>46126.2604166667</v>
      </c>
      <c r="H318" s="5" t="n">
        <v>46126.3854166667</v>
      </c>
      <c r="I318" s="4" t="n">
        <v>9</v>
      </c>
      <c r="J318" s="6" t="n">
        <v>2.6</v>
      </c>
      <c r="K318" s="6" t="n">
        <v>5.1</v>
      </c>
      <c r="L318" s="6" t="n">
        <v>12.7</v>
      </c>
      <c r="M318" s="6" t="n">
        <v>3</v>
      </c>
      <c r="N318" s="6" t="n">
        <v>23.4</v>
      </c>
    </row>
    <row r="319" customFormat="false" ht="15" hidden="false" customHeight="false" outlineLevel="0" collapsed="false">
      <c r="A319" s="4" t="s">
        <v>336</v>
      </c>
      <c r="B319" s="4" t="s">
        <v>24</v>
      </c>
      <c r="C319" s="4" t="s">
        <v>35</v>
      </c>
      <c r="D319" s="5" t="n">
        <v>46061.6965277778</v>
      </c>
      <c r="E319" s="5" t="n">
        <v>46062.5881944444</v>
      </c>
      <c r="F319" s="5" t="n">
        <v>46062.8923611111</v>
      </c>
      <c r="G319" s="5" t="n">
        <v>46063.0215277778</v>
      </c>
      <c r="H319" s="5" t="n">
        <v>46063.2965277778</v>
      </c>
      <c r="I319" s="4" t="n">
        <v>16</v>
      </c>
      <c r="J319" s="6" t="n">
        <v>21.4</v>
      </c>
      <c r="K319" s="6" t="n">
        <v>7.3</v>
      </c>
      <c r="L319" s="6" t="n">
        <v>3.1</v>
      </c>
      <c r="M319" s="6" t="n">
        <v>6.6</v>
      </c>
      <c r="N319" s="6" t="n">
        <v>38.4</v>
      </c>
    </row>
    <row r="320" customFormat="false" ht="15" hidden="false" customHeight="false" outlineLevel="0" collapsed="false">
      <c r="A320" s="4" t="s">
        <v>337</v>
      </c>
      <c r="B320" s="4" t="s">
        <v>20</v>
      </c>
      <c r="C320" s="4" t="s">
        <v>35</v>
      </c>
      <c r="D320" s="5" t="n">
        <v>46187.7902777778</v>
      </c>
      <c r="E320" s="5" t="n">
        <v>46188.7944444444</v>
      </c>
      <c r="F320" s="5" t="n">
        <v>46189.1652777778</v>
      </c>
      <c r="G320" s="5" t="n">
        <v>46189.6861111111</v>
      </c>
      <c r="H320" s="5" t="n">
        <v>46189.7944444444</v>
      </c>
      <c r="I320" s="4" t="n">
        <v>18</v>
      </c>
      <c r="J320" s="6" t="n">
        <v>24.1</v>
      </c>
      <c r="K320" s="6" t="n">
        <v>8.9</v>
      </c>
      <c r="L320" s="6" t="n">
        <v>12.5</v>
      </c>
      <c r="M320" s="6" t="n">
        <v>2.6</v>
      </c>
      <c r="N320" s="6" t="n">
        <v>48.1</v>
      </c>
    </row>
    <row r="321" customFormat="false" ht="15" hidden="false" customHeight="false" outlineLevel="0" collapsed="false">
      <c r="A321" s="4" t="s">
        <v>338</v>
      </c>
      <c r="B321" s="4" t="s">
        <v>20</v>
      </c>
      <c r="C321" s="4" t="s">
        <v>35</v>
      </c>
      <c r="D321" s="5" t="n">
        <v>46177.7652777778</v>
      </c>
      <c r="E321" s="5" t="n">
        <v>46178.9986111111</v>
      </c>
      <c r="F321" s="5" t="n">
        <v>46179.2111111111</v>
      </c>
      <c r="G321" s="5" t="n">
        <v>46179.3986111111</v>
      </c>
      <c r="H321" s="5" t="n">
        <v>46179.5611111111</v>
      </c>
      <c r="I321" s="4" t="n">
        <v>18</v>
      </c>
      <c r="J321" s="6" t="n">
        <v>29.6</v>
      </c>
      <c r="K321" s="6" t="n">
        <v>5.1</v>
      </c>
      <c r="L321" s="6" t="n">
        <v>4.5</v>
      </c>
      <c r="M321" s="6" t="n">
        <v>3.9</v>
      </c>
      <c r="N321" s="6" t="n">
        <v>43.1</v>
      </c>
    </row>
    <row r="322" customFormat="false" ht="15" hidden="false" customHeight="false" outlineLevel="0" collapsed="false">
      <c r="A322" s="4" t="s">
        <v>339</v>
      </c>
      <c r="B322" s="4" t="s">
        <v>20</v>
      </c>
      <c r="C322" s="4" t="s">
        <v>18</v>
      </c>
      <c r="D322" s="5" t="n">
        <v>46180.7625</v>
      </c>
      <c r="E322" s="5" t="n">
        <v>46181.9208333333</v>
      </c>
      <c r="F322" s="5" t="n">
        <v>46182.2916666667</v>
      </c>
      <c r="G322" s="5" t="n">
        <v>46182.8041666667</v>
      </c>
      <c r="H322" s="5" t="n">
        <v>46183.0791666667</v>
      </c>
      <c r="I322" s="4" t="n">
        <v>18</v>
      </c>
      <c r="J322" s="6" t="n">
        <v>27.8</v>
      </c>
      <c r="K322" s="6" t="n">
        <v>8.9</v>
      </c>
      <c r="L322" s="6" t="n">
        <v>12.3</v>
      </c>
      <c r="M322" s="6" t="n">
        <v>6.6</v>
      </c>
      <c r="N322" s="6" t="n">
        <v>55.6</v>
      </c>
    </row>
    <row r="323" customFormat="false" ht="15" hidden="false" customHeight="false" outlineLevel="0" collapsed="false">
      <c r="A323" s="4" t="s">
        <v>340</v>
      </c>
      <c r="B323" s="4" t="s">
        <v>20</v>
      </c>
      <c r="C323" s="4" t="s">
        <v>18</v>
      </c>
      <c r="D323" s="5" t="n">
        <v>46157.4756944445</v>
      </c>
      <c r="E323" s="5" t="n">
        <v>46157.7423611111</v>
      </c>
      <c r="F323" s="5" t="n">
        <v>46157.8465277778</v>
      </c>
      <c r="G323" s="5" t="n">
        <v>46158.3840277778</v>
      </c>
      <c r="H323" s="5" t="n">
        <v>46158.7465277778</v>
      </c>
      <c r="I323" s="4" t="n">
        <v>11</v>
      </c>
      <c r="J323" s="6" t="n">
        <v>6.4</v>
      </c>
      <c r="K323" s="6" t="n">
        <v>2.5</v>
      </c>
      <c r="L323" s="6" t="n">
        <v>12.9</v>
      </c>
      <c r="M323" s="6" t="n">
        <v>8.7</v>
      </c>
      <c r="N323" s="6" t="n">
        <v>30.5</v>
      </c>
    </row>
    <row r="324" customFormat="false" ht="15" hidden="false" customHeight="false" outlineLevel="0" collapsed="false">
      <c r="A324" s="4" t="s">
        <v>341</v>
      </c>
      <c r="B324" s="4" t="s">
        <v>17</v>
      </c>
      <c r="C324" s="4" t="s">
        <v>18</v>
      </c>
      <c r="D324" s="5" t="n">
        <v>46154.6694444444</v>
      </c>
      <c r="E324" s="5" t="n">
        <v>46155.7236111111</v>
      </c>
      <c r="F324" s="5" t="n">
        <v>46156.2152777778</v>
      </c>
      <c r="G324" s="5" t="n">
        <v>46156.7944444444</v>
      </c>
      <c r="H324" s="5" t="n">
        <v>46157.1486111111</v>
      </c>
      <c r="I324" s="4" t="n">
        <v>16</v>
      </c>
      <c r="J324" s="6" t="n">
        <v>25.3</v>
      </c>
      <c r="K324" s="6" t="n">
        <v>11.8</v>
      </c>
      <c r="L324" s="6" t="n">
        <v>13.9</v>
      </c>
      <c r="M324" s="6" t="n">
        <v>8.5</v>
      </c>
      <c r="N324" s="6" t="n">
        <v>59.5</v>
      </c>
    </row>
    <row r="325" customFormat="false" ht="15" hidden="false" customHeight="false" outlineLevel="0" collapsed="false">
      <c r="A325" s="4" t="s">
        <v>342</v>
      </c>
      <c r="B325" s="4" t="s">
        <v>20</v>
      </c>
      <c r="C325" s="4" t="s">
        <v>35</v>
      </c>
      <c r="D325" s="5" t="n">
        <v>46172.6069444444</v>
      </c>
      <c r="E325" s="5" t="n">
        <v>46173.7236111111</v>
      </c>
      <c r="F325" s="5" t="n">
        <v>46174.1236111111</v>
      </c>
      <c r="G325" s="5" t="n">
        <v>46174.6861111111</v>
      </c>
      <c r="H325" s="5" t="n">
        <v>46174.9944444444</v>
      </c>
      <c r="I325" s="4" t="n">
        <v>14</v>
      </c>
      <c r="J325" s="6" t="n">
        <v>26.8</v>
      </c>
      <c r="K325" s="6" t="n">
        <v>9.6</v>
      </c>
      <c r="L325" s="6" t="n">
        <v>13.5</v>
      </c>
      <c r="M325" s="6" t="n">
        <v>7.4</v>
      </c>
      <c r="N325" s="6" t="n">
        <v>57.3</v>
      </c>
    </row>
    <row r="326" customFormat="false" ht="15" hidden="false" customHeight="false" outlineLevel="0" collapsed="false">
      <c r="A326" s="4" t="s">
        <v>343</v>
      </c>
      <c r="B326" s="4" t="s">
        <v>20</v>
      </c>
      <c r="C326" s="4" t="s">
        <v>18</v>
      </c>
      <c r="D326" s="5" t="n">
        <v>46094.4993055556</v>
      </c>
      <c r="E326" s="5" t="n">
        <v>46094.6868055556</v>
      </c>
      <c r="F326" s="5" t="n">
        <v>46095.0993055556</v>
      </c>
      <c r="G326" s="5" t="n">
        <v>46095.4576388889</v>
      </c>
      <c r="H326" s="5" t="n">
        <v>46095.7243055556</v>
      </c>
      <c r="I326" s="4" t="n">
        <v>11</v>
      </c>
      <c r="J326" s="6" t="n">
        <v>4.5</v>
      </c>
      <c r="K326" s="6" t="n">
        <v>9.9</v>
      </c>
      <c r="L326" s="6" t="n">
        <v>8.6</v>
      </c>
      <c r="M326" s="6" t="n">
        <v>6.4</v>
      </c>
      <c r="N326" s="6" t="n">
        <v>29.4</v>
      </c>
    </row>
    <row r="327" customFormat="false" ht="15" hidden="false" customHeight="false" outlineLevel="0" collapsed="false">
      <c r="A327" s="4" t="s">
        <v>344</v>
      </c>
      <c r="B327" s="4" t="s">
        <v>17</v>
      </c>
      <c r="C327" s="4" t="s">
        <v>18</v>
      </c>
      <c r="D327" s="5" t="n">
        <v>46206.6111111111</v>
      </c>
      <c r="E327" s="5" t="n">
        <v>46207.6694444444</v>
      </c>
      <c r="F327" s="5" t="n">
        <v>46208.0111111111</v>
      </c>
      <c r="G327" s="5" t="n">
        <v>46208.2652777778</v>
      </c>
      <c r="H327" s="5" t="n">
        <v>46208.4402777778</v>
      </c>
      <c r="I327" s="4" t="n">
        <v>14</v>
      </c>
      <c r="J327" s="6" t="n">
        <v>25.4</v>
      </c>
      <c r="K327" s="6" t="n">
        <v>8.2</v>
      </c>
      <c r="L327" s="6" t="n">
        <v>6.1</v>
      </c>
      <c r="M327" s="6" t="n">
        <v>4.2</v>
      </c>
      <c r="N327" s="6" t="n">
        <v>43.9</v>
      </c>
    </row>
    <row r="328" customFormat="false" ht="15" hidden="false" customHeight="false" outlineLevel="0" collapsed="false">
      <c r="A328" s="4" t="s">
        <v>345</v>
      </c>
      <c r="B328" s="4" t="s">
        <v>17</v>
      </c>
      <c r="C328" s="4" t="s">
        <v>18</v>
      </c>
      <c r="D328" s="5" t="n">
        <v>46066.6423611111</v>
      </c>
      <c r="E328" s="5" t="n">
        <v>46067.7215277778</v>
      </c>
      <c r="F328" s="5" t="n">
        <v>46068.1215277778</v>
      </c>
      <c r="G328" s="5" t="n">
        <v>46068.5423611111</v>
      </c>
      <c r="H328" s="5" t="n">
        <v>46068.8131944445</v>
      </c>
      <c r="I328" s="4" t="n">
        <v>15</v>
      </c>
      <c r="J328" s="6" t="n">
        <v>25.9</v>
      </c>
      <c r="K328" s="6" t="n">
        <v>9.6</v>
      </c>
      <c r="L328" s="6" t="n">
        <v>10.1</v>
      </c>
      <c r="M328" s="6" t="n">
        <v>6.5</v>
      </c>
      <c r="N328" s="6" t="n">
        <v>52.1</v>
      </c>
    </row>
    <row r="329" customFormat="false" ht="15" hidden="false" customHeight="false" outlineLevel="0" collapsed="false">
      <c r="A329" s="4" t="s">
        <v>346</v>
      </c>
      <c r="B329" s="4" t="s">
        <v>20</v>
      </c>
      <c r="C329" s="4" t="s">
        <v>18</v>
      </c>
      <c r="D329" s="5" t="n">
        <v>46088.3368055556</v>
      </c>
      <c r="E329" s="5" t="n">
        <v>46088.6493055556</v>
      </c>
      <c r="F329" s="5" t="n">
        <v>46088.7826388889</v>
      </c>
      <c r="G329" s="5" t="n">
        <v>46089.1868055556</v>
      </c>
      <c r="H329" s="5" t="n">
        <v>46089.2868055556</v>
      </c>
      <c r="I329" s="4" t="n">
        <v>8</v>
      </c>
      <c r="J329" s="6" t="n">
        <v>7.5</v>
      </c>
      <c r="K329" s="6" t="n">
        <v>3.2</v>
      </c>
      <c r="L329" s="6" t="n">
        <v>9.7</v>
      </c>
      <c r="M329" s="6" t="n">
        <v>2.4</v>
      </c>
      <c r="N329" s="6" t="n">
        <v>22.8</v>
      </c>
    </row>
    <row r="330" customFormat="false" ht="15" hidden="false" customHeight="false" outlineLevel="0" collapsed="false">
      <c r="A330" s="4" t="s">
        <v>347</v>
      </c>
      <c r="B330" s="4" t="s">
        <v>17</v>
      </c>
      <c r="C330" s="4" t="s">
        <v>18</v>
      </c>
      <c r="D330" s="5" t="n">
        <v>46071.4479166667</v>
      </c>
      <c r="E330" s="5" t="n">
        <v>46071.6604166667</v>
      </c>
      <c r="F330" s="5" t="n">
        <v>46071.7479166667</v>
      </c>
      <c r="G330" s="5" t="n">
        <v>46072.1020833333</v>
      </c>
      <c r="H330" s="5" t="n">
        <v>46072.2854166667</v>
      </c>
      <c r="I330" s="4" t="n">
        <v>10</v>
      </c>
      <c r="J330" s="6" t="n">
        <v>5.1</v>
      </c>
      <c r="K330" s="6" t="n">
        <v>2.1</v>
      </c>
      <c r="L330" s="6" t="n">
        <v>8.5</v>
      </c>
      <c r="M330" s="6" t="n">
        <v>4.4</v>
      </c>
      <c r="N330" s="6" t="n">
        <v>20.1</v>
      </c>
    </row>
    <row r="331" customFormat="false" ht="15" hidden="false" customHeight="false" outlineLevel="0" collapsed="false">
      <c r="A331" s="4" t="s">
        <v>348</v>
      </c>
      <c r="B331" s="4" t="s">
        <v>17</v>
      </c>
      <c r="C331" s="4" t="s">
        <v>35</v>
      </c>
      <c r="D331" s="5" t="n">
        <v>46093.4222222222</v>
      </c>
      <c r="E331" s="5" t="n">
        <v>46093.8388888889</v>
      </c>
      <c r="F331" s="5" t="n">
        <v>46094.2847222222</v>
      </c>
      <c r="G331" s="5" t="n">
        <v>46094.7472222222</v>
      </c>
      <c r="H331" s="5" t="n">
        <v>46094.8638888889</v>
      </c>
      <c r="I331" s="4" t="n">
        <v>10</v>
      </c>
      <c r="J331" s="6" t="n">
        <v>10</v>
      </c>
      <c r="K331" s="6" t="n">
        <v>10.7</v>
      </c>
      <c r="L331" s="6" t="n">
        <v>11.1</v>
      </c>
      <c r="M331" s="6" t="n">
        <v>2.8</v>
      </c>
      <c r="N331" s="6" t="n">
        <v>34.6</v>
      </c>
    </row>
    <row r="332" customFormat="false" ht="15" hidden="false" customHeight="false" outlineLevel="0" collapsed="false">
      <c r="A332" s="4" t="s">
        <v>349</v>
      </c>
      <c r="B332" s="4" t="s">
        <v>24</v>
      </c>
      <c r="C332" s="4" t="s">
        <v>18</v>
      </c>
      <c r="D332" s="5" t="n">
        <v>46136.5027777778</v>
      </c>
      <c r="E332" s="5" t="n">
        <v>46136.7569444445</v>
      </c>
      <c r="F332" s="5" t="n">
        <v>46137.2486111111</v>
      </c>
      <c r="G332" s="5" t="n">
        <v>46137.6611111111</v>
      </c>
      <c r="H332" s="5" t="n">
        <v>46137.8902777778</v>
      </c>
      <c r="I332" s="4" t="n">
        <v>12</v>
      </c>
      <c r="J332" s="6" t="n">
        <v>6.1</v>
      </c>
      <c r="K332" s="6" t="n">
        <v>11.8</v>
      </c>
      <c r="L332" s="6" t="n">
        <v>9.9</v>
      </c>
      <c r="M332" s="6" t="n">
        <v>5.5</v>
      </c>
      <c r="N332" s="6" t="n">
        <v>33.3</v>
      </c>
    </row>
    <row r="333" customFormat="false" ht="15" hidden="false" customHeight="false" outlineLevel="0" collapsed="false">
      <c r="A333" s="4" t="s">
        <v>350</v>
      </c>
      <c r="B333" s="4" t="s">
        <v>17</v>
      </c>
      <c r="C333" s="4" t="s">
        <v>18</v>
      </c>
      <c r="D333" s="5" t="n">
        <v>46172.4236111111</v>
      </c>
      <c r="E333" s="5" t="n">
        <v>46172.6736111111</v>
      </c>
      <c r="F333" s="5" t="n">
        <v>46172.7986111111</v>
      </c>
      <c r="G333" s="5" t="n">
        <v>46173.1861111111</v>
      </c>
      <c r="H333" s="5" t="n">
        <v>46173.4819444444</v>
      </c>
      <c r="I333" s="4" t="n">
        <v>10</v>
      </c>
      <c r="J333" s="6" t="n">
        <v>6</v>
      </c>
      <c r="K333" s="6" t="n">
        <v>3</v>
      </c>
      <c r="L333" s="6" t="n">
        <v>9.3</v>
      </c>
      <c r="M333" s="6" t="n">
        <v>7.1</v>
      </c>
      <c r="N333" s="6" t="n">
        <v>25.4</v>
      </c>
    </row>
    <row r="334" customFormat="false" ht="15" hidden="false" customHeight="false" outlineLevel="0" collapsed="false">
      <c r="A334" s="4" t="s">
        <v>351</v>
      </c>
      <c r="B334" s="4" t="s">
        <v>20</v>
      </c>
      <c r="C334" s="4" t="s">
        <v>18</v>
      </c>
      <c r="D334" s="5" t="n">
        <v>46038.7916666667</v>
      </c>
      <c r="E334" s="5" t="n">
        <v>46039.725</v>
      </c>
      <c r="F334" s="5" t="n">
        <v>46040.0041666667</v>
      </c>
      <c r="G334" s="5" t="n">
        <v>46040.3041666667</v>
      </c>
      <c r="H334" s="5" t="n">
        <v>46040.4333333333</v>
      </c>
      <c r="I334" s="4" t="n">
        <v>19</v>
      </c>
      <c r="J334" s="6" t="n">
        <v>22.4</v>
      </c>
      <c r="K334" s="6" t="n">
        <v>6.7</v>
      </c>
      <c r="L334" s="6" t="n">
        <v>7.2</v>
      </c>
      <c r="M334" s="6" t="n">
        <v>3.1</v>
      </c>
      <c r="N334" s="6" t="n">
        <v>39.4</v>
      </c>
    </row>
    <row r="335" customFormat="false" ht="15" hidden="false" customHeight="false" outlineLevel="0" collapsed="false">
      <c r="A335" s="4" t="s">
        <v>352</v>
      </c>
      <c r="B335" s="4" t="s">
        <v>24</v>
      </c>
      <c r="C335" s="4" t="s">
        <v>35</v>
      </c>
      <c r="D335" s="5" t="n">
        <v>46168.8229166667</v>
      </c>
      <c r="E335" s="5" t="n">
        <v>46169.9645833333</v>
      </c>
      <c r="F335" s="5" t="n">
        <v>46170.2229166667</v>
      </c>
      <c r="G335" s="5" t="n">
        <v>46170.49375</v>
      </c>
      <c r="H335" s="5" t="n">
        <v>46170.6979166667</v>
      </c>
      <c r="I335" s="4" t="n">
        <v>19</v>
      </c>
      <c r="J335" s="6" t="n">
        <v>27.4</v>
      </c>
      <c r="K335" s="6" t="n">
        <v>6.2</v>
      </c>
      <c r="L335" s="6" t="n">
        <v>6.5</v>
      </c>
      <c r="M335" s="6" t="n">
        <v>4.9</v>
      </c>
      <c r="N335" s="6" t="n">
        <v>45</v>
      </c>
    </row>
    <row r="336" customFormat="false" ht="15" hidden="false" customHeight="false" outlineLevel="0" collapsed="false">
      <c r="A336" s="4" t="s">
        <v>353</v>
      </c>
      <c r="B336" s="4" t="s">
        <v>17</v>
      </c>
      <c r="C336" s="4" t="s">
        <v>18</v>
      </c>
      <c r="D336" s="5" t="n">
        <v>46046.6715277778</v>
      </c>
      <c r="E336" s="5" t="n">
        <v>46047.7131944444</v>
      </c>
      <c r="F336" s="5" t="n">
        <v>46048.1715277778</v>
      </c>
      <c r="G336" s="5" t="n">
        <v>46048.3798611111</v>
      </c>
      <c r="H336" s="5" t="n">
        <v>46048.6965277778</v>
      </c>
      <c r="I336" s="4" t="n">
        <v>16</v>
      </c>
      <c r="J336" s="6" t="n">
        <v>25</v>
      </c>
      <c r="K336" s="6" t="n">
        <v>11</v>
      </c>
      <c r="L336" s="6" t="n">
        <v>5</v>
      </c>
      <c r="M336" s="6" t="n">
        <v>7.6</v>
      </c>
      <c r="N336" s="6" t="n">
        <v>48.6</v>
      </c>
    </row>
    <row r="337" customFormat="false" ht="15" hidden="false" customHeight="false" outlineLevel="0" collapsed="false">
      <c r="A337" s="4" t="s">
        <v>354</v>
      </c>
      <c r="B337" s="4" t="s">
        <v>24</v>
      </c>
      <c r="C337" s="4" t="s">
        <v>53</v>
      </c>
      <c r="D337" s="5" t="n">
        <v>46044.8298611111</v>
      </c>
      <c r="E337" s="5" t="n">
        <v>46045.7798611111</v>
      </c>
      <c r="F337" s="5" t="n">
        <v>46046.2131944444</v>
      </c>
      <c r="G337" s="5" t="n">
        <v>46046.4881944444</v>
      </c>
      <c r="H337" s="5" t="n">
        <v>46046.7340277778</v>
      </c>
      <c r="I337" s="4" t="n">
        <v>19</v>
      </c>
      <c r="J337" s="6" t="n">
        <v>22.8</v>
      </c>
      <c r="K337" s="6" t="n">
        <v>10.4</v>
      </c>
      <c r="L337" s="6" t="n">
        <v>6.6</v>
      </c>
      <c r="M337" s="6" t="n">
        <v>5.9</v>
      </c>
      <c r="N337" s="6" t="n">
        <v>45.7</v>
      </c>
    </row>
    <row r="338" customFormat="false" ht="15" hidden="false" customHeight="false" outlineLevel="0" collapsed="false">
      <c r="A338" s="4" t="s">
        <v>355</v>
      </c>
      <c r="B338" s="4" t="s">
        <v>20</v>
      </c>
      <c r="C338" s="4" t="s">
        <v>18</v>
      </c>
      <c r="D338" s="5" t="n">
        <v>46171.7826388889</v>
      </c>
      <c r="E338" s="5" t="n">
        <v>46172.8743055556</v>
      </c>
      <c r="F338" s="5" t="n">
        <v>46173.1493055556</v>
      </c>
      <c r="G338" s="5" t="n">
        <v>46173.5451388889</v>
      </c>
      <c r="H338" s="5" t="n">
        <v>46173.7743055556</v>
      </c>
      <c r="I338" s="4" t="n">
        <v>18</v>
      </c>
      <c r="J338" s="6" t="n">
        <v>26.2</v>
      </c>
      <c r="K338" s="6" t="n">
        <v>6.6</v>
      </c>
      <c r="L338" s="6" t="n">
        <v>9.5</v>
      </c>
      <c r="M338" s="6" t="n">
        <v>5.5</v>
      </c>
      <c r="N338" s="6" t="n">
        <v>47.8</v>
      </c>
    </row>
    <row r="339" customFormat="false" ht="15" hidden="false" customHeight="false" outlineLevel="0" collapsed="false">
      <c r="A339" s="4" t="s">
        <v>356</v>
      </c>
      <c r="B339" s="4" t="s">
        <v>24</v>
      </c>
      <c r="C339" s="4" t="s">
        <v>18</v>
      </c>
      <c r="D339" s="5" t="n">
        <v>46166.7604166667</v>
      </c>
      <c r="E339" s="5" t="n">
        <v>46167.65625</v>
      </c>
      <c r="F339" s="5" t="n">
        <v>46168.1270833333</v>
      </c>
      <c r="G339" s="5" t="n">
        <v>46168.2645833333</v>
      </c>
      <c r="H339" s="5" t="n">
        <v>46168.50625</v>
      </c>
      <c r="I339" s="4" t="n">
        <v>18</v>
      </c>
      <c r="J339" s="6" t="n">
        <v>21.5</v>
      </c>
      <c r="K339" s="6" t="n">
        <v>11.3</v>
      </c>
      <c r="L339" s="6" t="n">
        <v>3.3</v>
      </c>
      <c r="M339" s="6" t="n">
        <v>5.8</v>
      </c>
      <c r="N339" s="6" t="n">
        <v>41.9</v>
      </c>
    </row>
    <row r="340" customFormat="false" ht="15" hidden="false" customHeight="false" outlineLevel="0" collapsed="false">
      <c r="A340" s="4" t="s">
        <v>357</v>
      </c>
      <c r="B340" s="4" t="s">
        <v>17</v>
      </c>
      <c r="C340" s="4" t="s">
        <v>18</v>
      </c>
      <c r="D340" s="5" t="n">
        <v>46029.8333333333</v>
      </c>
      <c r="E340" s="5" t="n">
        <v>46030.9833333333</v>
      </c>
      <c r="F340" s="5" t="n">
        <v>46031.225</v>
      </c>
      <c r="G340" s="5" t="n">
        <v>46031.6875</v>
      </c>
      <c r="H340" s="5" t="n">
        <v>46031.8625</v>
      </c>
      <c r="I340" s="4" t="n">
        <v>20</v>
      </c>
      <c r="J340" s="6" t="n">
        <v>27.6</v>
      </c>
      <c r="K340" s="6" t="n">
        <v>5.8</v>
      </c>
      <c r="L340" s="6" t="n">
        <v>11.1</v>
      </c>
      <c r="M340" s="6" t="n">
        <v>4.2</v>
      </c>
      <c r="N340" s="6" t="n">
        <v>48.7</v>
      </c>
    </row>
    <row r="341" customFormat="false" ht="15" hidden="false" customHeight="false" outlineLevel="0" collapsed="false">
      <c r="A341" s="4" t="s">
        <v>358</v>
      </c>
      <c r="B341" s="4" t="s">
        <v>20</v>
      </c>
      <c r="C341" s="4" t="s">
        <v>53</v>
      </c>
      <c r="D341" s="5" t="n">
        <v>46134.6270833333</v>
      </c>
      <c r="E341" s="5" t="n">
        <v>46135.8645833333</v>
      </c>
      <c r="F341" s="5" t="n">
        <v>46136.00625</v>
      </c>
      <c r="G341" s="5" t="n">
        <v>46136.2604166667</v>
      </c>
      <c r="H341" s="5" t="n">
        <v>46136.35625</v>
      </c>
      <c r="I341" s="4" t="n">
        <v>15</v>
      </c>
      <c r="J341" s="6" t="n">
        <v>29.7</v>
      </c>
      <c r="K341" s="6" t="n">
        <v>3.4</v>
      </c>
      <c r="L341" s="6" t="n">
        <v>6.1</v>
      </c>
      <c r="M341" s="6" t="n">
        <v>2.3</v>
      </c>
      <c r="N341" s="6" t="n">
        <v>41.5</v>
      </c>
    </row>
    <row r="342" customFormat="false" ht="15" hidden="false" customHeight="false" outlineLevel="0" collapsed="false">
      <c r="A342" s="4" t="s">
        <v>359</v>
      </c>
      <c r="B342" s="4" t="s">
        <v>20</v>
      </c>
      <c r="C342" s="4" t="s">
        <v>35</v>
      </c>
      <c r="D342" s="5" t="n">
        <v>46132.7243055556</v>
      </c>
      <c r="E342" s="5" t="n">
        <v>46133.7493055556</v>
      </c>
      <c r="F342" s="5" t="n">
        <v>46134.1451388889</v>
      </c>
      <c r="G342" s="5" t="n">
        <v>46134.5368055556</v>
      </c>
      <c r="H342" s="5" t="n">
        <v>46134.7659722222</v>
      </c>
      <c r="I342" s="4" t="n">
        <v>17</v>
      </c>
      <c r="J342" s="6" t="n">
        <v>24.6</v>
      </c>
      <c r="K342" s="6" t="n">
        <v>9.5</v>
      </c>
      <c r="L342" s="6" t="n">
        <v>9.4</v>
      </c>
      <c r="M342" s="6" t="n">
        <v>5.5</v>
      </c>
      <c r="N342" s="6" t="n">
        <v>49</v>
      </c>
    </row>
    <row r="343" customFormat="false" ht="15" hidden="false" customHeight="false" outlineLevel="0" collapsed="false">
      <c r="A343" s="4" t="s">
        <v>360</v>
      </c>
      <c r="B343" s="4" t="s">
        <v>17</v>
      </c>
      <c r="C343" s="4" t="s">
        <v>18</v>
      </c>
      <c r="D343" s="5" t="n">
        <v>46178.64375</v>
      </c>
      <c r="E343" s="5" t="n">
        <v>46179.7520833333</v>
      </c>
      <c r="F343" s="5" t="n">
        <v>46179.8895833333</v>
      </c>
      <c r="G343" s="5" t="n">
        <v>46180.1479166667</v>
      </c>
      <c r="H343" s="5" t="n">
        <v>46180.48125</v>
      </c>
      <c r="I343" s="4" t="n">
        <v>15</v>
      </c>
      <c r="J343" s="6" t="n">
        <v>26.6</v>
      </c>
      <c r="K343" s="6" t="n">
        <v>3.3</v>
      </c>
      <c r="L343" s="6" t="n">
        <v>6.2</v>
      </c>
      <c r="M343" s="6" t="n">
        <v>8</v>
      </c>
      <c r="N343" s="6" t="n">
        <v>44.1</v>
      </c>
    </row>
    <row r="344" customFormat="false" ht="15" hidden="false" customHeight="false" outlineLevel="0" collapsed="false">
      <c r="A344" s="4" t="s">
        <v>361</v>
      </c>
      <c r="B344" s="4" t="s">
        <v>24</v>
      </c>
      <c r="C344" s="4" t="s">
        <v>18</v>
      </c>
      <c r="D344" s="5" t="n">
        <v>46110.5534722222</v>
      </c>
      <c r="E344" s="5" t="n">
        <v>46110.7993055556</v>
      </c>
      <c r="F344" s="5" t="n">
        <v>46111.2743055556</v>
      </c>
      <c r="G344" s="5" t="n">
        <v>46111.4618055556</v>
      </c>
      <c r="H344" s="5" t="n">
        <v>46111.7701388889</v>
      </c>
      <c r="I344" s="4" t="n">
        <v>13</v>
      </c>
      <c r="J344" s="6" t="n">
        <v>5.9</v>
      </c>
      <c r="K344" s="6" t="n">
        <v>11.4</v>
      </c>
      <c r="L344" s="6" t="n">
        <v>4.5</v>
      </c>
      <c r="M344" s="6" t="n">
        <v>7.4</v>
      </c>
      <c r="N344" s="6" t="n">
        <v>29.2</v>
      </c>
    </row>
    <row r="345" customFormat="false" ht="15" hidden="false" customHeight="false" outlineLevel="0" collapsed="false">
      <c r="A345" s="4" t="s">
        <v>362</v>
      </c>
      <c r="B345" s="4" t="s">
        <v>20</v>
      </c>
      <c r="C345" s="4" t="s">
        <v>18</v>
      </c>
      <c r="D345" s="5" t="n">
        <v>46142.6013888889</v>
      </c>
      <c r="E345" s="5" t="n">
        <v>46143.4847222222</v>
      </c>
      <c r="F345" s="5" t="n">
        <v>46143.7180555556</v>
      </c>
      <c r="G345" s="5" t="n">
        <v>46144.1972222222</v>
      </c>
      <c r="H345" s="5" t="n">
        <v>46144.4138888889</v>
      </c>
      <c r="I345" s="4" t="n">
        <v>14</v>
      </c>
      <c r="J345" s="6" t="n">
        <v>21.2</v>
      </c>
      <c r="K345" s="6" t="n">
        <v>5.6</v>
      </c>
      <c r="L345" s="6" t="n">
        <v>11.5</v>
      </c>
      <c r="M345" s="6" t="n">
        <v>5.2</v>
      </c>
      <c r="N345" s="6" t="n">
        <v>43.5</v>
      </c>
    </row>
    <row r="346" customFormat="false" ht="15" hidden="false" customHeight="false" outlineLevel="0" collapsed="false">
      <c r="A346" s="4" t="s">
        <v>363</v>
      </c>
      <c r="B346" s="4" t="s">
        <v>17</v>
      </c>
      <c r="C346" s="4" t="s">
        <v>35</v>
      </c>
      <c r="D346" s="5" t="n">
        <v>46050.4465277778</v>
      </c>
      <c r="E346" s="5" t="n">
        <v>46050.7131944444</v>
      </c>
      <c r="F346" s="5" t="n">
        <v>46051.0881944444</v>
      </c>
      <c r="G346" s="5" t="n">
        <v>46051.4881944444</v>
      </c>
      <c r="H346" s="5" t="n">
        <v>46051.6340277778</v>
      </c>
      <c r="I346" s="4" t="n">
        <v>10</v>
      </c>
      <c r="J346" s="6" t="n">
        <v>6.4</v>
      </c>
      <c r="K346" s="6" t="n">
        <v>9</v>
      </c>
      <c r="L346" s="6" t="n">
        <v>9.6</v>
      </c>
      <c r="M346" s="6" t="n">
        <v>3.5</v>
      </c>
      <c r="N346" s="6" t="n">
        <v>28.5</v>
      </c>
    </row>
    <row r="347" customFormat="false" ht="15" hidden="false" customHeight="false" outlineLevel="0" collapsed="false">
      <c r="A347" s="4" t="s">
        <v>364</v>
      </c>
      <c r="B347" s="4" t="s">
        <v>24</v>
      </c>
      <c r="C347" s="4" t="s">
        <v>18</v>
      </c>
      <c r="D347" s="5" t="n">
        <v>46090.8923611111</v>
      </c>
      <c r="E347" s="5" t="n">
        <v>46091.9381944445</v>
      </c>
      <c r="F347" s="5" t="n">
        <v>46092.3048611111</v>
      </c>
      <c r="G347" s="5" t="n">
        <v>46092.5506944444</v>
      </c>
      <c r="H347" s="5" t="n">
        <v>46092.9215277778</v>
      </c>
      <c r="I347" s="4" t="n">
        <v>21</v>
      </c>
      <c r="J347" s="6" t="n">
        <v>25.1</v>
      </c>
      <c r="K347" s="6" t="n">
        <v>8.8</v>
      </c>
      <c r="L347" s="6" t="n">
        <v>5.9</v>
      </c>
      <c r="M347" s="6" t="n">
        <v>8.9</v>
      </c>
      <c r="N347" s="6" t="n">
        <v>48.7</v>
      </c>
    </row>
    <row r="348" customFormat="false" ht="15" hidden="false" customHeight="false" outlineLevel="0" collapsed="false">
      <c r="A348" s="4" t="s">
        <v>365</v>
      </c>
      <c r="B348" s="4" t="s">
        <v>20</v>
      </c>
      <c r="C348" s="4" t="s">
        <v>18</v>
      </c>
      <c r="D348" s="5" t="n">
        <v>46142.6493055556</v>
      </c>
      <c r="E348" s="5" t="n">
        <v>46143.5868055556</v>
      </c>
      <c r="F348" s="5" t="n">
        <v>46143.8618055556</v>
      </c>
      <c r="G348" s="5" t="n">
        <v>46144.3534722222</v>
      </c>
      <c r="H348" s="5" t="n">
        <v>46144.4784722222</v>
      </c>
      <c r="I348" s="4" t="n">
        <v>15</v>
      </c>
      <c r="J348" s="6" t="n">
        <v>22.5</v>
      </c>
      <c r="K348" s="6" t="n">
        <v>6.6</v>
      </c>
      <c r="L348" s="6" t="n">
        <v>11.8</v>
      </c>
      <c r="M348" s="6" t="n">
        <v>3</v>
      </c>
      <c r="N348" s="6" t="n">
        <v>43.9</v>
      </c>
    </row>
    <row r="349" customFormat="false" ht="15" hidden="false" customHeight="false" outlineLevel="0" collapsed="false">
      <c r="A349" s="4" t="s">
        <v>366</v>
      </c>
      <c r="B349" s="4" t="s">
        <v>20</v>
      </c>
      <c r="C349" s="4" t="s">
        <v>35</v>
      </c>
      <c r="D349" s="5" t="n">
        <v>46083.4527777778</v>
      </c>
      <c r="E349" s="5" t="n">
        <v>46083.7527777778</v>
      </c>
      <c r="F349" s="5" t="n">
        <v>46084.1236111111</v>
      </c>
      <c r="G349" s="5" t="n">
        <v>46084.6777777778</v>
      </c>
      <c r="H349" s="5" t="n">
        <v>46084.7861111111</v>
      </c>
      <c r="I349" s="4" t="n">
        <v>10</v>
      </c>
      <c r="J349" s="6" t="n">
        <v>7.2</v>
      </c>
      <c r="K349" s="6" t="n">
        <v>8.9</v>
      </c>
      <c r="L349" s="6" t="n">
        <v>13.3</v>
      </c>
      <c r="M349" s="6" t="n">
        <v>2.6</v>
      </c>
      <c r="N349" s="6" t="n">
        <v>32</v>
      </c>
    </row>
    <row r="350" customFormat="false" ht="15" hidden="false" customHeight="false" outlineLevel="0" collapsed="false">
      <c r="A350" s="4" t="s">
        <v>367</v>
      </c>
      <c r="B350" s="4" t="s">
        <v>17</v>
      </c>
      <c r="C350" s="4" t="s">
        <v>53</v>
      </c>
      <c r="D350" s="5" t="n">
        <v>46046.2944444444</v>
      </c>
      <c r="E350" s="5" t="n">
        <v>46046.4277777778</v>
      </c>
      <c r="F350" s="5" t="n">
        <v>46046.7819444445</v>
      </c>
      <c r="G350" s="5" t="n">
        <v>46047.2777777778</v>
      </c>
      <c r="H350" s="5" t="n">
        <v>46047.3861111111</v>
      </c>
      <c r="I350" s="4" t="n">
        <v>7</v>
      </c>
      <c r="J350" s="6" t="n">
        <v>3.2</v>
      </c>
      <c r="K350" s="6" t="n">
        <v>8.5</v>
      </c>
      <c r="L350" s="6" t="n">
        <v>11.9</v>
      </c>
      <c r="M350" s="6" t="n">
        <v>2.6</v>
      </c>
      <c r="N350" s="6" t="n">
        <v>26.2</v>
      </c>
    </row>
    <row r="351" customFormat="false" ht="15" hidden="false" customHeight="false" outlineLevel="0" collapsed="false">
      <c r="A351" s="4" t="s">
        <v>368</v>
      </c>
      <c r="B351" s="4" t="s">
        <v>24</v>
      </c>
      <c r="C351" s="4" t="s">
        <v>35</v>
      </c>
      <c r="D351" s="5" t="n">
        <v>46058.3534722222</v>
      </c>
      <c r="E351" s="5" t="n">
        <v>46058.4493055556</v>
      </c>
      <c r="F351" s="5" t="n">
        <v>46058.9159722222</v>
      </c>
      <c r="G351" s="5" t="n">
        <v>46059.2409722222</v>
      </c>
      <c r="H351" s="5" t="n">
        <v>46059.5368055556</v>
      </c>
      <c r="I351" s="4" t="n">
        <v>8</v>
      </c>
      <c r="J351" s="6" t="n">
        <v>2.3</v>
      </c>
      <c r="K351" s="6" t="n">
        <v>11.2</v>
      </c>
      <c r="L351" s="6" t="n">
        <v>7.8</v>
      </c>
      <c r="M351" s="6" t="n">
        <v>7.1</v>
      </c>
      <c r="N351" s="6" t="n">
        <v>28.4</v>
      </c>
    </row>
    <row r="352" customFormat="false" ht="15" hidden="false" customHeight="false" outlineLevel="0" collapsed="false">
      <c r="A352" s="4" t="s">
        <v>369</v>
      </c>
      <c r="B352" s="4" t="s">
        <v>17</v>
      </c>
      <c r="C352" s="4" t="s">
        <v>18</v>
      </c>
      <c r="D352" s="5" t="n">
        <v>46136.4673611111</v>
      </c>
      <c r="E352" s="5" t="n">
        <v>46136.9381944445</v>
      </c>
      <c r="F352" s="5" t="n">
        <v>46137.1340277778</v>
      </c>
      <c r="G352" s="5" t="n">
        <v>46137.4631944444</v>
      </c>
      <c r="H352" s="5" t="n">
        <v>46137.5881944444</v>
      </c>
      <c r="I352" s="4" t="n">
        <v>11</v>
      </c>
      <c r="J352" s="6" t="n">
        <v>11.3</v>
      </c>
      <c r="K352" s="6" t="n">
        <v>4.7</v>
      </c>
      <c r="L352" s="6" t="n">
        <v>7.9</v>
      </c>
      <c r="M352" s="6" t="n">
        <v>3</v>
      </c>
      <c r="N352" s="6" t="n">
        <v>26.9</v>
      </c>
    </row>
    <row r="353" customFormat="false" ht="15" hidden="false" customHeight="false" outlineLevel="0" collapsed="false">
      <c r="A353" s="4" t="s">
        <v>370</v>
      </c>
      <c r="B353" s="4" t="s">
        <v>17</v>
      </c>
      <c r="C353" s="4" t="s">
        <v>18</v>
      </c>
      <c r="D353" s="5" t="n">
        <v>46192.5180555556</v>
      </c>
      <c r="E353" s="5" t="n">
        <v>46192.9805555556</v>
      </c>
      <c r="F353" s="5" t="n">
        <v>46193.2638888889</v>
      </c>
      <c r="G353" s="5" t="n">
        <v>46193.4305555556</v>
      </c>
      <c r="H353" s="5" t="n">
        <v>46193.6263888889</v>
      </c>
      <c r="I353" s="4" t="n">
        <v>12</v>
      </c>
      <c r="J353" s="6" t="n">
        <v>11.1</v>
      </c>
      <c r="K353" s="6" t="n">
        <v>6.8</v>
      </c>
      <c r="L353" s="6" t="n">
        <v>4</v>
      </c>
      <c r="M353" s="6" t="n">
        <v>4.7</v>
      </c>
      <c r="N353" s="6" t="n">
        <v>26.6</v>
      </c>
    </row>
    <row r="354" customFormat="false" ht="15" hidden="false" customHeight="false" outlineLevel="0" collapsed="false">
      <c r="A354" s="4" t="s">
        <v>371</v>
      </c>
      <c r="B354" s="4" t="s">
        <v>20</v>
      </c>
      <c r="C354" s="4" t="s">
        <v>18</v>
      </c>
      <c r="D354" s="5" t="n">
        <v>46161.5354166667</v>
      </c>
      <c r="E354" s="5" t="n">
        <v>46161.88125</v>
      </c>
      <c r="F354" s="5" t="n">
        <v>46161.9729166667</v>
      </c>
      <c r="G354" s="5" t="n">
        <v>46162.2729166667</v>
      </c>
      <c r="H354" s="5" t="n">
        <v>46162.5645833333</v>
      </c>
      <c r="I354" s="4" t="n">
        <v>12</v>
      </c>
      <c r="J354" s="6" t="n">
        <v>8.3</v>
      </c>
      <c r="K354" s="6" t="n">
        <v>2.2</v>
      </c>
      <c r="L354" s="6" t="n">
        <v>7.2</v>
      </c>
      <c r="M354" s="6" t="n">
        <v>7</v>
      </c>
      <c r="N354" s="6" t="n">
        <v>24.7</v>
      </c>
    </row>
    <row r="355" customFormat="false" ht="15" hidden="false" customHeight="false" outlineLevel="0" collapsed="false">
      <c r="A355" s="4" t="s">
        <v>372</v>
      </c>
      <c r="B355" s="4" t="s">
        <v>17</v>
      </c>
      <c r="C355" s="4" t="s">
        <v>35</v>
      </c>
      <c r="D355" s="5" t="n">
        <v>46115.8555555556</v>
      </c>
      <c r="E355" s="5" t="n">
        <v>46116.8222222222</v>
      </c>
      <c r="F355" s="5" t="n">
        <v>46117.0180555556</v>
      </c>
      <c r="G355" s="5" t="n">
        <v>46117.1555555556</v>
      </c>
      <c r="H355" s="5" t="n">
        <v>46117.4138888889</v>
      </c>
      <c r="I355" s="4" t="n">
        <v>20</v>
      </c>
      <c r="J355" s="6" t="n">
        <v>23.2</v>
      </c>
      <c r="K355" s="6" t="n">
        <v>4.7</v>
      </c>
      <c r="L355" s="6" t="n">
        <v>3.3</v>
      </c>
      <c r="M355" s="6" t="n">
        <v>6.2</v>
      </c>
      <c r="N355" s="6" t="n">
        <v>37.4</v>
      </c>
    </row>
    <row r="356" customFormat="false" ht="15" hidden="false" customHeight="false" outlineLevel="0" collapsed="false">
      <c r="A356" s="4" t="s">
        <v>373</v>
      </c>
      <c r="B356" s="4" t="s">
        <v>20</v>
      </c>
      <c r="C356" s="4" t="s">
        <v>35</v>
      </c>
      <c r="D356" s="5" t="n">
        <v>46098.3541666667</v>
      </c>
      <c r="E356" s="5" t="n">
        <v>46098.5708333333</v>
      </c>
      <c r="F356" s="5" t="n">
        <v>46098.975</v>
      </c>
      <c r="G356" s="5" t="n">
        <v>46099.5583333333</v>
      </c>
      <c r="H356" s="5" t="n">
        <v>46099.925</v>
      </c>
      <c r="I356" s="4" t="n">
        <v>8</v>
      </c>
      <c r="J356" s="6" t="n">
        <v>5.2</v>
      </c>
      <c r="K356" s="6" t="n">
        <v>9.7</v>
      </c>
      <c r="L356" s="6" t="n">
        <v>14</v>
      </c>
      <c r="M356" s="6" t="n">
        <v>8.8</v>
      </c>
      <c r="N356" s="6" t="n">
        <v>37.7</v>
      </c>
    </row>
    <row r="357" customFormat="false" ht="15" hidden="false" customHeight="false" outlineLevel="0" collapsed="false">
      <c r="A357" s="4" t="s">
        <v>374</v>
      </c>
      <c r="B357" s="4" t="s">
        <v>20</v>
      </c>
      <c r="C357" s="4" t="s">
        <v>18</v>
      </c>
      <c r="D357" s="5" t="n">
        <v>46095.6597222222</v>
      </c>
      <c r="E357" s="5" t="n">
        <v>46096.8763888889</v>
      </c>
      <c r="F357" s="5" t="n">
        <v>46096.9847222222</v>
      </c>
      <c r="G357" s="5" t="n">
        <v>46097.5680555556</v>
      </c>
      <c r="H357" s="5" t="n">
        <v>46097.7138888889</v>
      </c>
      <c r="I357" s="4" t="n">
        <v>15</v>
      </c>
      <c r="J357" s="6" t="n">
        <v>29.2</v>
      </c>
      <c r="K357" s="6" t="n">
        <v>2.6</v>
      </c>
      <c r="L357" s="6" t="n">
        <v>14</v>
      </c>
      <c r="M357" s="6" t="n">
        <v>3.5</v>
      </c>
      <c r="N357" s="6" t="n">
        <v>49.3</v>
      </c>
    </row>
    <row r="358" customFormat="false" ht="15" hidden="false" customHeight="false" outlineLevel="0" collapsed="false">
      <c r="A358" s="4" t="s">
        <v>375</v>
      </c>
      <c r="B358" s="4" t="s">
        <v>24</v>
      </c>
      <c r="C358" s="4" t="s">
        <v>35</v>
      </c>
      <c r="D358" s="5" t="n">
        <v>46117.8708333333</v>
      </c>
      <c r="E358" s="5" t="n">
        <v>46118.775</v>
      </c>
      <c r="F358" s="5" t="n">
        <v>46118.9583333333</v>
      </c>
      <c r="G358" s="5" t="n">
        <v>46119.2291666667</v>
      </c>
      <c r="H358" s="5" t="n">
        <v>46119.5291666667</v>
      </c>
      <c r="I358" s="4" t="n">
        <v>20</v>
      </c>
      <c r="J358" s="6" t="n">
        <v>21.7</v>
      </c>
      <c r="K358" s="6" t="n">
        <v>4.4</v>
      </c>
      <c r="L358" s="6" t="n">
        <v>6.5</v>
      </c>
      <c r="M358" s="6" t="n">
        <v>7.2</v>
      </c>
      <c r="N358" s="6" t="n">
        <v>39.8</v>
      </c>
    </row>
    <row r="359" customFormat="false" ht="15" hidden="false" customHeight="false" outlineLevel="0" collapsed="false">
      <c r="A359" s="4" t="s">
        <v>376</v>
      </c>
      <c r="B359" s="4" t="s">
        <v>20</v>
      </c>
      <c r="C359" s="4" t="s">
        <v>18</v>
      </c>
      <c r="D359" s="5" t="n">
        <v>46206.5666666667</v>
      </c>
      <c r="E359" s="5" t="n">
        <v>46206.9208333333</v>
      </c>
      <c r="F359" s="5" t="n">
        <v>46207.2375</v>
      </c>
      <c r="G359" s="5" t="n">
        <v>46207.45</v>
      </c>
      <c r="H359" s="5" t="n">
        <v>46207.8208333333</v>
      </c>
      <c r="I359" s="4" t="n">
        <v>13</v>
      </c>
      <c r="J359" s="6" t="n">
        <v>8.5</v>
      </c>
      <c r="K359" s="6" t="n">
        <v>7.6</v>
      </c>
      <c r="L359" s="6" t="n">
        <v>5.1</v>
      </c>
      <c r="M359" s="6" t="n">
        <v>8.9</v>
      </c>
      <c r="N359" s="6" t="n">
        <v>30.1</v>
      </c>
    </row>
    <row r="360" customFormat="false" ht="15" hidden="false" customHeight="false" outlineLevel="0" collapsed="false">
      <c r="A360" s="4" t="s">
        <v>377</v>
      </c>
      <c r="B360" s="4" t="s">
        <v>24</v>
      </c>
      <c r="C360" s="4" t="s">
        <v>18</v>
      </c>
      <c r="D360" s="5" t="n">
        <v>46106.4597222222</v>
      </c>
      <c r="E360" s="5" t="n">
        <v>46106.6555555556</v>
      </c>
      <c r="F360" s="5" t="n">
        <v>46106.8347222222</v>
      </c>
      <c r="G360" s="5" t="n">
        <v>46107.0597222222</v>
      </c>
      <c r="H360" s="5" t="n">
        <v>46107.2972222222</v>
      </c>
      <c r="I360" s="4" t="n">
        <v>11</v>
      </c>
      <c r="J360" s="6" t="n">
        <v>4.7</v>
      </c>
      <c r="K360" s="6" t="n">
        <v>4.3</v>
      </c>
      <c r="L360" s="6" t="n">
        <v>5.4</v>
      </c>
      <c r="M360" s="6" t="n">
        <v>5.7</v>
      </c>
      <c r="N360" s="6" t="n">
        <v>20.1</v>
      </c>
    </row>
    <row r="361" customFormat="false" ht="15" hidden="false" customHeight="false" outlineLevel="0" collapsed="false">
      <c r="A361" s="4" t="s">
        <v>378</v>
      </c>
      <c r="B361" s="4" t="s">
        <v>20</v>
      </c>
      <c r="C361" s="4" t="s">
        <v>53</v>
      </c>
      <c r="D361" s="5" t="n">
        <v>46078.80625</v>
      </c>
      <c r="E361" s="5" t="n">
        <v>46079.9395833333</v>
      </c>
      <c r="F361" s="5" t="n">
        <v>46080.40625</v>
      </c>
      <c r="G361" s="5" t="n">
        <v>46080.91875</v>
      </c>
      <c r="H361" s="5" t="n">
        <v>46081.0979166667</v>
      </c>
      <c r="I361" s="4" t="n">
        <v>19</v>
      </c>
      <c r="J361" s="6" t="n">
        <v>27.2</v>
      </c>
      <c r="K361" s="6" t="n">
        <v>11.2</v>
      </c>
      <c r="L361" s="6" t="n">
        <v>12.3</v>
      </c>
      <c r="M361" s="6" t="n">
        <v>4.3</v>
      </c>
      <c r="N361" s="6" t="n">
        <v>55</v>
      </c>
    </row>
    <row r="362" customFormat="false" ht="15" hidden="false" customHeight="false" outlineLevel="0" collapsed="false">
      <c r="A362" s="4" t="s">
        <v>379</v>
      </c>
      <c r="B362" s="4" t="s">
        <v>20</v>
      </c>
      <c r="C362" s="4" t="s">
        <v>18</v>
      </c>
      <c r="D362" s="5" t="n">
        <v>46063.7875</v>
      </c>
      <c r="E362" s="5" t="n">
        <v>46064.8416666667</v>
      </c>
      <c r="F362" s="5" t="n">
        <v>46065.075</v>
      </c>
      <c r="G362" s="5" t="n">
        <v>46065.2333333333</v>
      </c>
      <c r="H362" s="5" t="n">
        <v>46065.5208333333</v>
      </c>
      <c r="I362" s="4" t="n">
        <v>18</v>
      </c>
      <c r="J362" s="6" t="n">
        <v>25.3</v>
      </c>
      <c r="K362" s="6" t="n">
        <v>5.6</v>
      </c>
      <c r="L362" s="6" t="n">
        <v>3.8</v>
      </c>
      <c r="M362" s="6" t="n">
        <v>6.9</v>
      </c>
      <c r="N362" s="6" t="n">
        <v>41.6</v>
      </c>
    </row>
    <row r="363" customFormat="false" ht="15" hidden="false" customHeight="false" outlineLevel="0" collapsed="false">
      <c r="A363" s="4" t="s">
        <v>380</v>
      </c>
      <c r="B363" s="4" t="s">
        <v>17</v>
      </c>
      <c r="C363" s="4" t="s">
        <v>18</v>
      </c>
      <c r="D363" s="5" t="n">
        <v>46113.5055555556</v>
      </c>
      <c r="E363" s="5" t="n">
        <v>46113.9972222222</v>
      </c>
      <c r="F363" s="5" t="n">
        <v>46114.3847222222</v>
      </c>
      <c r="G363" s="5" t="n">
        <v>46114.7097222222</v>
      </c>
      <c r="H363" s="5" t="n">
        <v>46114.9805555556</v>
      </c>
      <c r="I363" s="4" t="n">
        <v>12</v>
      </c>
      <c r="J363" s="6" t="n">
        <v>11.8</v>
      </c>
      <c r="K363" s="6" t="n">
        <v>9.3</v>
      </c>
      <c r="L363" s="6" t="n">
        <v>7.8</v>
      </c>
      <c r="M363" s="6" t="n">
        <v>6.5</v>
      </c>
      <c r="N363" s="6" t="n">
        <v>35.4</v>
      </c>
    </row>
    <row r="364" customFormat="false" ht="15" hidden="false" customHeight="false" outlineLevel="0" collapsed="false">
      <c r="A364" s="4" t="s">
        <v>381</v>
      </c>
      <c r="B364" s="4" t="s">
        <v>17</v>
      </c>
      <c r="C364" s="4" t="s">
        <v>18</v>
      </c>
      <c r="D364" s="5" t="n">
        <v>46170.7493055556</v>
      </c>
      <c r="E364" s="5" t="n">
        <v>46171.8368055556</v>
      </c>
      <c r="F364" s="5" t="n">
        <v>46172.0701388889</v>
      </c>
      <c r="G364" s="5" t="n">
        <v>46172.4993055556</v>
      </c>
      <c r="H364" s="5" t="n">
        <v>46172.8201388889</v>
      </c>
      <c r="I364" s="4" t="n">
        <v>17</v>
      </c>
      <c r="J364" s="6" t="n">
        <v>26.1</v>
      </c>
      <c r="K364" s="6" t="n">
        <v>5.6</v>
      </c>
      <c r="L364" s="6" t="n">
        <v>10.3</v>
      </c>
      <c r="M364" s="6" t="n">
        <v>7.7</v>
      </c>
      <c r="N364" s="6" t="n">
        <v>49.7</v>
      </c>
    </row>
    <row r="365" customFormat="false" ht="15" hidden="false" customHeight="false" outlineLevel="0" collapsed="false">
      <c r="A365" s="4" t="s">
        <v>382</v>
      </c>
      <c r="B365" s="4" t="s">
        <v>20</v>
      </c>
      <c r="C365" s="4" t="s">
        <v>35</v>
      </c>
      <c r="D365" s="5" t="n">
        <v>46102.4486111111</v>
      </c>
      <c r="E365" s="5" t="n">
        <v>46102.6152777778</v>
      </c>
      <c r="F365" s="5" t="n">
        <v>46102.9902777778</v>
      </c>
      <c r="G365" s="5" t="n">
        <v>46103.3777777778</v>
      </c>
      <c r="H365" s="5" t="n">
        <v>46103.7111111111</v>
      </c>
      <c r="I365" s="4" t="n">
        <v>10</v>
      </c>
      <c r="J365" s="6" t="n">
        <v>4</v>
      </c>
      <c r="K365" s="6" t="n">
        <v>9</v>
      </c>
      <c r="L365" s="6" t="n">
        <v>9.3</v>
      </c>
      <c r="M365" s="6" t="n">
        <v>8</v>
      </c>
      <c r="N365" s="6" t="n">
        <v>30.3</v>
      </c>
    </row>
    <row r="366" customFormat="false" ht="15" hidden="false" customHeight="false" outlineLevel="0" collapsed="false">
      <c r="A366" s="4" t="s">
        <v>383</v>
      </c>
      <c r="B366" s="4" t="s">
        <v>24</v>
      </c>
      <c r="C366" s="4" t="s">
        <v>18</v>
      </c>
      <c r="D366" s="5" t="n">
        <v>46073.7069444444</v>
      </c>
      <c r="E366" s="5" t="n">
        <v>46074.8777777778</v>
      </c>
      <c r="F366" s="5" t="n">
        <v>46075.2152777778</v>
      </c>
      <c r="G366" s="5" t="n">
        <v>46075.6319444445</v>
      </c>
      <c r="H366" s="5" t="n">
        <v>46075.7444444444</v>
      </c>
      <c r="I366" s="4" t="n">
        <v>16</v>
      </c>
      <c r="J366" s="6" t="n">
        <v>28.1</v>
      </c>
      <c r="K366" s="6" t="n">
        <v>8.1</v>
      </c>
      <c r="L366" s="6" t="n">
        <v>10</v>
      </c>
      <c r="M366" s="6" t="n">
        <v>2.7</v>
      </c>
      <c r="N366" s="6" t="n">
        <v>48.9</v>
      </c>
    </row>
    <row r="367" customFormat="false" ht="15" hidden="false" customHeight="false" outlineLevel="0" collapsed="false">
      <c r="A367" s="4" t="s">
        <v>384</v>
      </c>
      <c r="B367" s="4" t="s">
        <v>17</v>
      </c>
      <c r="C367" s="4" t="s">
        <v>18</v>
      </c>
      <c r="D367" s="5" t="n">
        <v>46046.5138888889</v>
      </c>
      <c r="E367" s="5" t="n">
        <v>46046.7347222222</v>
      </c>
      <c r="F367" s="5" t="n">
        <v>46047.1888888889</v>
      </c>
      <c r="G367" s="5" t="n">
        <v>46047.3555555556</v>
      </c>
      <c r="H367" s="5" t="n">
        <v>46047.6472222222</v>
      </c>
      <c r="I367" s="4" t="n">
        <v>12</v>
      </c>
      <c r="J367" s="6" t="n">
        <v>5.3</v>
      </c>
      <c r="K367" s="6" t="n">
        <v>10.9</v>
      </c>
      <c r="L367" s="6" t="n">
        <v>4</v>
      </c>
      <c r="M367" s="6" t="n">
        <v>7</v>
      </c>
      <c r="N367" s="6" t="n">
        <v>27.2</v>
      </c>
    </row>
    <row r="368" customFormat="false" ht="15" hidden="false" customHeight="false" outlineLevel="0" collapsed="false">
      <c r="A368" s="4" t="s">
        <v>385</v>
      </c>
      <c r="B368" s="4" t="s">
        <v>17</v>
      </c>
      <c r="C368" s="4" t="s">
        <v>35</v>
      </c>
      <c r="D368" s="5" t="n">
        <v>46141.3006944444</v>
      </c>
      <c r="E368" s="5" t="n">
        <v>46141.4465277778</v>
      </c>
      <c r="F368" s="5" t="n">
        <v>46141.5590277778</v>
      </c>
      <c r="G368" s="5" t="n">
        <v>46141.8006944444</v>
      </c>
      <c r="H368" s="5" t="n">
        <v>46141.9173611111</v>
      </c>
      <c r="I368" s="4" t="n">
        <v>7</v>
      </c>
      <c r="J368" s="6" t="n">
        <v>3.5</v>
      </c>
      <c r="K368" s="6" t="n">
        <v>2.7</v>
      </c>
      <c r="L368" s="6" t="n">
        <v>5.8</v>
      </c>
      <c r="M368" s="6" t="n">
        <v>2.8</v>
      </c>
      <c r="N368" s="6" t="n">
        <v>14.8</v>
      </c>
    </row>
    <row r="369" customFormat="false" ht="15" hidden="false" customHeight="false" outlineLevel="0" collapsed="false">
      <c r="A369" s="4" t="s">
        <v>386</v>
      </c>
      <c r="B369" s="4" t="s">
        <v>20</v>
      </c>
      <c r="C369" s="4" t="s">
        <v>18</v>
      </c>
      <c r="D369" s="5" t="n">
        <v>46134.9138888889</v>
      </c>
      <c r="E369" s="5" t="n">
        <v>46135.9180555556</v>
      </c>
      <c r="F369" s="5" t="n">
        <v>46136.3680555556</v>
      </c>
      <c r="G369" s="5" t="n">
        <v>46136.6555555556</v>
      </c>
      <c r="H369" s="5" t="n">
        <v>46136.8472222222</v>
      </c>
      <c r="I369" s="4" t="n">
        <v>21</v>
      </c>
      <c r="J369" s="6" t="n">
        <v>24.1</v>
      </c>
      <c r="K369" s="6" t="n">
        <v>10.8</v>
      </c>
      <c r="L369" s="6" t="n">
        <v>6.9</v>
      </c>
      <c r="M369" s="6" t="n">
        <v>4.6</v>
      </c>
      <c r="N369" s="6" t="n">
        <v>46.4</v>
      </c>
    </row>
    <row r="370" customFormat="false" ht="15" hidden="false" customHeight="false" outlineLevel="0" collapsed="false">
      <c r="A370" s="4" t="s">
        <v>387</v>
      </c>
      <c r="B370" s="4" t="s">
        <v>24</v>
      </c>
      <c r="C370" s="4" t="s">
        <v>35</v>
      </c>
      <c r="D370" s="5" t="n">
        <v>46174.7381944444</v>
      </c>
      <c r="E370" s="5" t="n">
        <v>46175.6673611111</v>
      </c>
      <c r="F370" s="5" t="n">
        <v>46175.9381944445</v>
      </c>
      <c r="G370" s="5" t="n">
        <v>46176.4298611111</v>
      </c>
      <c r="H370" s="5" t="n">
        <v>46176.5215277778</v>
      </c>
      <c r="I370" s="4" t="n">
        <v>17</v>
      </c>
      <c r="J370" s="6" t="n">
        <v>22.3</v>
      </c>
      <c r="K370" s="6" t="n">
        <v>6.5</v>
      </c>
      <c r="L370" s="6" t="n">
        <v>11.8</v>
      </c>
      <c r="M370" s="6" t="n">
        <v>2.2</v>
      </c>
      <c r="N370" s="6" t="n">
        <v>42.8</v>
      </c>
    </row>
    <row r="371" customFormat="false" ht="15" hidden="false" customHeight="false" outlineLevel="0" collapsed="false">
      <c r="A371" s="4" t="s">
        <v>388</v>
      </c>
      <c r="B371" s="4" t="s">
        <v>20</v>
      </c>
      <c r="C371" s="4" t="s">
        <v>18</v>
      </c>
      <c r="D371" s="5" t="n">
        <v>46053.3819444445</v>
      </c>
      <c r="E371" s="5" t="n">
        <v>46053.6861111111</v>
      </c>
      <c r="F371" s="5" t="n">
        <v>46053.8361111111</v>
      </c>
      <c r="G371" s="5" t="n">
        <v>46053.9944444444</v>
      </c>
      <c r="H371" s="5" t="n">
        <v>46054.3527777778</v>
      </c>
      <c r="I371" s="4" t="n">
        <v>9</v>
      </c>
      <c r="J371" s="6" t="n">
        <v>7.3</v>
      </c>
      <c r="K371" s="6" t="n">
        <v>3.6</v>
      </c>
      <c r="L371" s="6" t="n">
        <v>3.8</v>
      </c>
      <c r="M371" s="6" t="n">
        <v>8.6</v>
      </c>
      <c r="N371" s="6" t="n">
        <v>23.3</v>
      </c>
    </row>
    <row r="372" customFormat="false" ht="15" hidden="false" customHeight="false" outlineLevel="0" collapsed="false">
      <c r="A372" s="4" t="s">
        <v>389</v>
      </c>
      <c r="B372" s="4" t="s">
        <v>24</v>
      </c>
      <c r="C372" s="4" t="s">
        <v>18</v>
      </c>
      <c r="D372" s="5" t="n">
        <v>46184.8645833333</v>
      </c>
      <c r="E372" s="5" t="n">
        <v>46185.7104166667</v>
      </c>
      <c r="F372" s="5" t="n">
        <v>46186.1854166667</v>
      </c>
      <c r="G372" s="5" t="n">
        <v>46186.3854166667</v>
      </c>
      <c r="H372" s="5" t="n">
        <v>46186.7270833333</v>
      </c>
      <c r="I372" s="4" t="n">
        <v>20</v>
      </c>
      <c r="J372" s="6" t="n">
        <v>20.3</v>
      </c>
      <c r="K372" s="6" t="n">
        <v>11.4</v>
      </c>
      <c r="L372" s="6" t="n">
        <v>4.8</v>
      </c>
      <c r="M372" s="6" t="n">
        <v>8.2</v>
      </c>
      <c r="N372" s="6" t="n">
        <v>44.7</v>
      </c>
    </row>
    <row r="373" customFormat="false" ht="15" hidden="false" customHeight="false" outlineLevel="0" collapsed="false">
      <c r="A373" s="4" t="s">
        <v>390</v>
      </c>
      <c r="B373" s="4" t="s">
        <v>20</v>
      </c>
      <c r="C373" s="4" t="s">
        <v>18</v>
      </c>
      <c r="D373" s="5" t="n">
        <v>46079.8930555556</v>
      </c>
      <c r="E373" s="5" t="n">
        <v>46081.0180555556</v>
      </c>
      <c r="F373" s="5" t="n">
        <v>46081.4013888889</v>
      </c>
      <c r="G373" s="5" t="n">
        <v>46081.8597222222</v>
      </c>
      <c r="H373" s="5" t="n">
        <v>46082.0222222222</v>
      </c>
      <c r="I373" s="4" t="n">
        <v>21</v>
      </c>
      <c r="J373" s="6" t="n">
        <v>27</v>
      </c>
      <c r="K373" s="6" t="n">
        <v>9.2</v>
      </c>
      <c r="L373" s="6" t="n">
        <v>11</v>
      </c>
      <c r="M373" s="6" t="n">
        <v>3.9</v>
      </c>
      <c r="N373" s="6" t="n">
        <v>51.1</v>
      </c>
    </row>
    <row r="374" customFormat="false" ht="15" hidden="false" customHeight="false" outlineLevel="0" collapsed="false">
      <c r="A374" s="4" t="s">
        <v>391</v>
      </c>
      <c r="B374" s="4" t="s">
        <v>20</v>
      </c>
      <c r="C374" s="4" t="s">
        <v>18</v>
      </c>
      <c r="D374" s="5" t="n">
        <v>46039.6076388889</v>
      </c>
      <c r="E374" s="5" t="n">
        <v>46040.7909722222</v>
      </c>
      <c r="F374" s="5" t="n">
        <v>46040.9368055556</v>
      </c>
      <c r="G374" s="5" t="n">
        <v>46041.2284722222</v>
      </c>
      <c r="H374" s="5" t="n">
        <v>46041.4368055556</v>
      </c>
      <c r="I374" s="4" t="n">
        <v>14</v>
      </c>
      <c r="J374" s="6" t="n">
        <v>28.4</v>
      </c>
      <c r="K374" s="6" t="n">
        <v>3.5</v>
      </c>
      <c r="L374" s="6" t="n">
        <v>7</v>
      </c>
      <c r="M374" s="6" t="n">
        <v>5</v>
      </c>
      <c r="N374" s="6" t="n">
        <v>43.9</v>
      </c>
    </row>
    <row r="375" customFormat="false" ht="15" hidden="false" customHeight="false" outlineLevel="0" collapsed="false">
      <c r="A375" s="4" t="s">
        <v>392</v>
      </c>
      <c r="B375" s="4" t="s">
        <v>20</v>
      </c>
      <c r="C375" s="4" t="s">
        <v>18</v>
      </c>
      <c r="D375" s="5" t="n">
        <v>46180.5875</v>
      </c>
      <c r="E375" s="5" t="n">
        <v>46181.4333333333</v>
      </c>
      <c r="F375" s="5" t="n">
        <v>46181.5875</v>
      </c>
      <c r="G375" s="5" t="n">
        <v>46181.8458333333</v>
      </c>
      <c r="H375" s="5" t="n">
        <v>46181.9541666667</v>
      </c>
      <c r="I375" s="4" t="n">
        <v>14</v>
      </c>
      <c r="J375" s="6" t="n">
        <v>20.3</v>
      </c>
      <c r="K375" s="6" t="n">
        <v>3.7</v>
      </c>
      <c r="L375" s="6" t="n">
        <v>6.2</v>
      </c>
      <c r="M375" s="6" t="n">
        <v>2.6</v>
      </c>
      <c r="N375" s="6" t="n">
        <v>32.8</v>
      </c>
    </row>
    <row r="376" customFormat="false" ht="15" hidden="false" customHeight="false" outlineLevel="0" collapsed="false">
      <c r="A376" s="4" t="s">
        <v>393</v>
      </c>
      <c r="B376" s="4" t="s">
        <v>24</v>
      </c>
      <c r="C376" s="4" t="s">
        <v>18</v>
      </c>
      <c r="D376" s="5" t="n">
        <v>46128.6229166667</v>
      </c>
      <c r="E376" s="5" t="n">
        <v>46129.73125</v>
      </c>
      <c r="F376" s="5" t="n">
        <v>46129.8520833333</v>
      </c>
      <c r="G376" s="5" t="n">
        <v>46130.2270833333</v>
      </c>
      <c r="H376" s="5" t="n">
        <v>46130.3645833333</v>
      </c>
      <c r="I376" s="4" t="n">
        <v>14</v>
      </c>
      <c r="J376" s="6" t="n">
        <v>26.6</v>
      </c>
      <c r="K376" s="6" t="n">
        <v>2.9</v>
      </c>
      <c r="L376" s="6" t="n">
        <v>9</v>
      </c>
      <c r="M376" s="6" t="n">
        <v>3.3</v>
      </c>
      <c r="N376" s="6" t="n">
        <v>41.8</v>
      </c>
    </row>
    <row r="377" customFormat="false" ht="15" hidden="false" customHeight="false" outlineLevel="0" collapsed="false">
      <c r="A377" s="4" t="s">
        <v>394</v>
      </c>
      <c r="B377" s="4" t="s">
        <v>24</v>
      </c>
      <c r="C377" s="4" t="s">
        <v>18</v>
      </c>
      <c r="D377" s="5" t="n">
        <v>46141.3527777778</v>
      </c>
      <c r="E377" s="5" t="n">
        <v>46141.5527777778</v>
      </c>
      <c r="F377" s="5" t="n">
        <v>46141.7319444444</v>
      </c>
      <c r="G377" s="5" t="n">
        <v>46141.9819444444</v>
      </c>
      <c r="H377" s="5" t="n">
        <v>46142.0819444444</v>
      </c>
      <c r="I377" s="4" t="n">
        <v>8</v>
      </c>
      <c r="J377" s="6" t="n">
        <v>4.8</v>
      </c>
      <c r="K377" s="6" t="n">
        <v>4.3</v>
      </c>
      <c r="L377" s="6" t="n">
        <v>6</v>
      </c>
      <c r="M377" s="6" t="n">
        <v>2.4</v>
      </c>
      <c r="N377" s="6" t="n">
        <v>17.5</v>
      </c>
    </row>
    <row r="378" customFormat="false" ht="15" hidden="false" customHeight="false" outlineLevel="0" collapsed="false">
      <c r="A378" s="4" t="s">
        <v>395</v>
      </c>
      <c r="B378" s="4" t="s">
        <v>24</v>
      </c>
      <c r="C378" s="4" t="s">
        <v>18</v>
      </c>
      <c r="D378" s="5" t="n">
        <v>46048.74375</v>
      </c>
      <c r="E378" s="5" t="n">
        <v>46049.8020833333</v>
      </c>
      <c r="F378" s="5" t="n">
        <v>46050.2895833333</v>
      </c>
      <c r="G378" s="5" t="n">
        <v>46050.6854166667</v>
      </c>
      <c r="H378" s="5" t="n">
        <v>46050.93125</v>
      </c>
      <c r="I378" s="4" t="n">
        <v>17</v>
      </c>
      <c r="J378" s="6" t="n">
        <v>25.4</v>
      </c>
      <c r="K378" s="6" t="n">
        <v>11.7</v>
      </c>
      <c r="L378" s="6" t="n">
        <v>9.5</v>
      </c>
      <c r="M378" s="6" t="n">
        <v>5.9</v>
      </c>
      <c r="N378" s="6" t="n">
        <v>52.5</v>
      </c>
    </row>
    <row r="379" customFormat="false" ht="15" hidden="false" customHeight="false" outlineLevel="0" collapsed="false">
      <c r="A379" s="4" t="s">
        <v>396</v>
      </c>
      <c r="B379" s="4" t="s">
        <v>24</v>
      </c>
      <c r="C379" s="4" t="s">
        <v>35</v>
      </c>
      <c r="D379" s="5" t="n">
        <v>46134.9048611111</v>
      </c>
      <c r="E379" s="5" t="n">
        <v>46136.1006944445</v>
      </c>
      <c r="F379" s="5" t="n">
        <v>46136.3798611111</v>
      </c>
      <c r="G379" s="5" t="n">
        <v>46136.9090277778</v>
      </c>
      <c r="H379" s="5" t="n">
        <v>46137.1298611111</v>
      </c>
      <c r="I379" s="4" t="n">
        <v>21</v>
      </c>
      <c r="J379" s="6" t="n">
        <v>28.7</v>
      </c>
      <c r="K379" s="6" t="n">
        <v>6.7</v>
      </c>
      <c r="L379" s="6" t="n">
        <v>12.7</v>
      </c>
      <c r="M379" s="6" t="n">
        <v>5.3</v>
      </c>
      <c r="N379" s="6" t="n">
        <v>53.4</v>
      </c>
    </row>
    <row r="380" customFormat="false" ht="15" hidden="false" customHeight="false" outlineLevel="0" collapsed="false">
      <c r="A380" s="4" t="s">
        <v>397</v>
      </c>
      <c r="B380" s="4" t="s">
        <v>20</v>
      </c>
      <c r="C380" s="4" t="s">
        <v>53</v>
      </c>
      <c r="D380" s="5" t="n">
        <v>46035.6645833333</v>
      </c>
      <c r="E380" s="5" t="n">
        <v>46036.7145833333</v>
      </c>
      <c r="F380" s="5" t="n">
        <v>46037.0354166667</v>
      </c>
      <c r="G380" s="5" t="n">
        <v>46037.6104166667</v>
      </c>
      <c r="H380" s="5" t="n">
        <v>46037.7354166667</v>
      </c>
      <c r="I380" s="4" t="n">
        <v>15</v>
      </c>
      <c r="J380" s="6" t="n">
        <v>25.2</v>
      </c>
      <c r="K380" s="6" t="n">
        <v>7.7</v>
      </c>
      <c r="L380" s="6" t="n">
        <v>13.8</v>
      </c>
      <c r="M380" s="6" t="n">
        <v>3</v>
      </c>
      <c r="N380" s="6" t="n">
        <v>49.7</v>
      </c>
    </row>
    <row r="381" customFormat="false" ht="15" hidden="false" customHeight="false" outlineLevel="0" collapsed="false">
      <c r="A381" s="4" t="s">
        <v>398</v>
      </c>
      <c r="B381" s="4" t="s">
        <v>24</v>
      </c>
      <c r="C381" s="4" t="s">
        <v>18</v>
      </c>
      <c r="D381" s="5" t="n">
        <v>46069.9104166667</v>
      </c>
      <c r="E381" s="5" t="n">
        <v>46070.8229166667</v>
      </c>
      <c r="F381" s="5" t="n">
        <v>46070.9229166667</v>
      </c>
      <c r="G381" s="5" t="n">
        <v>46071.0854166667</v>
      </c>
      <c r="H381" s="5" t="n">
        <v>46071.36875</v>
      </c>
      <c r="I381" s="4" t="n">
        <v>21</v>
      </c>
      <c r="J381" s="6" t="n">
        <v>21.9</v>
      </c>
      <c r="K381" s="6" t="n">
        <v>2.4</v>
      </c>
      <c r="L381" s="6" t="n">
        <v>3.9</v>
      </c>
      <c r="M381" s="6" t="n">
        <v>6.8</v>
      </c>
      <c r="N381" s="6" t="n">
        <v>35</v>
      </c>
    </row>
    <row r="382" customFormat="false" ht="15" hidden="false" customHeight="false" outlineLevel="0" collapsed="false">
      <c r="A382" s="4" t="s">
        <v>399</v>
      </c>
      <c r="B382" s="4" t="s">
        <v>20</v>
      </c>
      <c r="C382" s="4" t="s">
        <v>35</v>
      </c>
      <c r="D382" s="5" t="n">
        <v>46064.8027777778</v>
      </c>
      <c r="E382" s="5" t="n">
        <v>46065.7694444444</v>
      </c>
      <c r="F382" s="5" t="n">
        <v>46066.1569444445</v>
      </c>
      <c r="G382" s="5" t="n">
        <v>46066.6527777778</v>
      </c>
      <c r="H382" s="5" t="n">
        <v>46066.7611111111</v>
      </c>
      <c r="I382" s="4" t="n">
        <v>19</v>
      </c>
      <c r="J382" s="6" t="n">
        <v>23.2</v>
      </c>
      <c r="K382" s="6" t="n">
        <v>9.3</v>
      </c>
      <c r="L382" s="6" t="n">
        <v>11.9</v>
      </c>
      <c r="M382" s="6" t="n">
        <v>2.6</v>
      </c>
      <c r="N382" s="6" t="n">
        <v>47</v>
      </c>
    </row>
    <row r="383" customFormat="false" ht="15" hidden="false" customHeight="false" outlineLevel="0" collapsed="false">
      <c r="A383" s="4" t="s">
        <v>400</v>
      </c>
      <c r="B383" s="4" t="s">
        <v>17</v>
      </c>
      <c r="C383" s="4" t="s">
        <v>18</v>
      </c>
      <c r="D383" s="5" t="n">
        <v>46097.6652777778</v>
      </c>
      <c r="E383" s="5" t="n">
        <v>46098.8611111111</v>
      </c>
      <c r="F383" s="5" t="n">
        <v>46099.2736111111</v>
      </c>
      <c r="G383" s="5" t="n">
        <v>46099.6861111111</v>
      </c>
      <c r="H383" s="5" t="n">
        <v>46099.9236111111</v>
      </c>
      <c r="I383" s="4" t="n">
        <v>15</v>
      </c>
      <c r="J383" s="6" t="n">
        <v>28.7</v>
      </c>
      <c r="K383" s="6" t="n">
        <v>9.9</v>
      </c>
      <c r="L383" s="6" t="n">
        <v>9.9</v>
      </c>
      <c r="M383" s="6" t="n">
        <v>5.7</v>
      </c>
      <c r="N383" s="6" t="n">
        <v>54.2</v>
      </c>
    </row>
    <row r="384" customFormat="false" ht="15" hidden="false" customHeight="false" outlineLevel="0" collapsed="false">
      <c r="A384" s="4" t="s">
        <v>401</v>
      </c>
      <c r="B384" s="4" t="s">
        <v>20</v>
      </c>
      <c r="C384" s="4" t="s">
        <v>18</v>
      </c>
      <c r="D384" s="5" t="n">
        <v>46064.6506944444</v>
      </c>
      <c r="E384" s="5" t="n">
        <v>46065.8006944444</v>
      </c>
      <c r="F384" s="5" t="n">
        <v>46066.2756944444</v>
      </c>
      <c r="G384" s="5" t="n">
        <v>46066.8256944444</v>
      </c>
      <c r="H384" s="5" t="n">
        <v>46067.0715277778</v>
      </c>
      <c r="I384" s="4" t="n">
        <v>15</v>
      </c>
      <c r="J384" s="6" t="n">
        <v>27.6</v>
      </c>
      <c r="K384" s="6" t="n">
        <v>11.4</v>
      </c>
      <c r="L384" s="6" t="n">
        <v>13.2</v>
      </c>
      <c r="M384" s="6" t="n">
        <v>5.9</v>
      </c>
      <c r="N384" s="6" t="n">
        <v>58.1</v>
      </c>
    </row>
    <row r="385" customFormat="false" ht="15" hidden="false" customHeight="false" outlineLevel="0" collapsed="false">
      <c r="A385" s="4" t="s">
        <v>402</v>
      </c>
      <c r="B385" s="4" t="s">
        <v>20</v>
      </c>
      <c r="C385" s="4" t="s">
        <v>18</v>
      </c>
      <c r="D385" s="5" t="n">
        <v>46164.8305555556</v>
      </c>
      <c r="E385" s="5" t="n">
        <v>46165.8347222222</v>
      </c>
      <c r="F385" s="5" t="n">
        <v>46166.0763888889</v>
      </c>
      <c r="G385" s="5" t="n">
        <v>46166.4222222222</v>
      </c>
      <c r="H385" s="5" t="n">
        <v>46166.6847222222</v>
      </c>
      <c r="I385" s="4" t="n">
        <v>19</v>
      </c>
      <c r="J385" s="6" t="n">
        <v>24.1</v>
      </c>
      <c r="K385" s="6" t="n">
        <v>5.8</v>
      </c>
      <c r="L385" s="6" t="n">
        <v>8.3</v>
      </c>
      <c r="M385" s="6" t="n">
        <v>6.3</v>
      </c>
      <c r="N385" s="6" t="n">
        <v>44.5</v>
      </c>
    </row>
    <row r="386" customFormat="false" ht="15" hidden="false" customHeight="false" outlineLevel="0" collapsed="false">
      <c r="A386" s="4" t="s">
        <v>403</v>
      </c>
      <c r="B386" s="4" t="s">
        <v>20</v>
      </c>
      <c r="C386" s="4" t="s">
        <v>18</v>
      </c>
      <c r="D386" s="5" t="n">
        <v>46063.6965277778</v>
      </c>
      <c r="E386" s="5" t="n">
        <v>46064.8173611111</v>
      </c>
      <c r="F386" s="5" t="n">
        <v>46064.9173611111</v>
      </c>
      <c r="G386" s="5" t="n">
        <v>46065.4506944444</v>
      </c>
      <c r="H386" s="5" t="n">
        <v>46065.6298611111</v>
      </c>
      <c r="I386" s="4" t="n">
        <v>16</v>
      </c>
      <c r="J386" s="6" t="n">
        <v>26.9</v>
      </c>
      <c r="K386" s="6" t="n">
        <v>2.4</v>
      </c>
      <c r="L386" s="6" t="n">
        <v>12.8</v>
      </c>
      <c r="M386" s="6" t="n">
        <v>4.3</v>
      </c>
      <c r="N386" s="6" t="n">
        <v>46.4</v>
      </c>
    </row>
    <row r="387" customFormat="false" ht="15" hidden="false" customHeight="false" outlineLevel="0" collapsed="false">
      <c r="A387" s="4" t="s">
        <v>404</v>
      </c>
      <c r="B387" s="4" t="s">
        <v>20</v>
      </c>
      <c r="C387" s="4" t="s">
        <v>35</v>
      </c>
      <c r="D387" s="5" t="n">
        <v>46095.8340277778</v>
      </c>
      <c r="E387" s="5" t="n">
        <v>46096.8090277778</v>
      </c>
      <c r="F387" s="5" t="n">
        <v>46097.2215277778</v>
      </c>
      <c r="G387" s="5" t="n">
        <v>46097.4881944444</v>
      </c>
      <c r="H387" s="5" t="n">
        <v>46097.8173611111</v>
      </c>
      <c r="I387" s="4" t="n">
        <v>20</v>
      </c>
      <c r="J387" s="6" t="n">
        <v>23.4</v>
      </c>
      <c r="K387" s="6" t="n">
        <v>9.9</v>
      </c>
      <c r="L387" s="6" t="n">
        <v>6.4</v>
      </c>
      <c r="M387" s="6" t="n">
        <v>7.9</v>
      </c>
      <c r="N387" s="6" t="n">
        <v>47.6</v>
      </c>
    </row>
    <row r="388" customFormat="false" ht="15" hidden="false" customHeight="false" outlineLevel="0" collapsed="false">
      <c r="A388" s="4" t="s">
        <v>405</v>
      </c>
      <c r="B388" s="4" t="s">
        <v>24</v>
      </c>
      <c r="C388" s="4" t="s">
        <v>18</v>
      </c>
      <c r="D388" s="5" t="n">
        <v>46085.4493055556</v>
      </c>
      <c r="E388" s="5" t="n">
        <v>46085.7618055556</v>
      </c>
      <c r="F388" s="5" t="n">
        <v>46086.1909722222</v>
      </c>
      <c r="G388" s="5" t="n">
        <v>46086.4409722222</v>
      </c>
      <c r="H388" s="5" t="n">
        <v>46086.6451388889</v>
      </c>
      <c r="I388" s="4" t="n">
        <v>10</v>
      </c>
      <c r="J388" s="6" t="n">
        <v>7.5</v>
      </c>
      <c r="K388" s="6" t="n">
        <v>10.3</v>
      </c>
      <c r="L388" s="6" t="n">
        <v>6</v>
      </c>
      <c r="M388" s="6" t="n">
        <v>4.9</v>
      </c>
      <c r="N388" s="6" t="n">
        <v>28.7</v>
      </c>
    </row>
    <row r="389" customFormat="false" ht="15" hidden="false" customHeight="false" outlineLevel="0" collapsed="false">
      <c r="A389" s="4" t="s">
        <v>406</v>
      </c>
      <c r="B389" s="4" t="s">
        <v>17</v>
      </c>
      <c r="C389" s="4" t="s">
        <v>18</v>
      </c>
      <c r="D389" s="5" t="n">
        <v>46081.8513888889</v>
      </c>
      <c r="E389" s="5" t="n">
        <v>46082.9930555556</v>
      </c>
      <c r="F389" s="5" t="n">
        <v>46083.3930555556</v>
      </c>
      <c r="G389" s="5" t="n">
        <v>46083.9138888889</v>
      </c>
      <c r="H389" s="5" t="n">
        <v>46084.2347222222</v>
      </c>
      <c r="I389" s="4" t="n">
        <v>20</v>
      </c>
      <c r="J389" s="6" t="n">
        <v>27.4</v>
      </c>
      <c r="K389" s="6" t="n">
        <v>9.6</v>
      </c>
      <c r="L389" s="6" t="n">
        <v>12.5</v>
      </c>
      <c r="M389" s="6" t="n">
        <v>7.7</v>
      </c>
      <c r="N389" s="6" t="n">
        <v>57.2</v>
      </c>
    </row>
    <row r="390" customFormat="false" ht="15" hidden="false" customHeight="false" outlineLevel="0" collapsed="false">
      <c r="A390" s="4" t="s">
        <v>407</v>
      </c>
      <c r="B390" s="4" t="s">
        <v>17</v>
      </c>
      <c r="C390" s="4" t="s">
        <v>18</v>
      </c>
      <c r="D390" s="5" t="n">
        <v>46106.7256944445</v>
      </c>
      <c r="E390" s="5" t="n">
        <v>46107.6173611111</v>
      </c>
      <c r="F390" s="5" t="n">
        <v>46108.0548611111</v>
      </c>
      <c r="G390" s="5" t="n">
        <v>46108.5840277778</v>
      </c>
      <c r="H390" s="5" t="n">
        <v>46108.6756944444</v>
      </c>
      <c r="I390" s="4" t="n">
        <v>17</v>
      </c>
      <c r="J390" s="6" t="n">
        <v>21.4</v>
      </c>
      <c r="K390" s="6" t="n">
        <v>10.5</v>
      </c>
      <c r="L390" s="6" t="n">
        <v>12.7</v>
      </c>
      <c r="M390" s="6" t="n">
        <v>2.2</v>
      </c>
      <c r="N390" s="6" t="n">
        <v>46.8</v>
      </c>
    </row>
    <row r="391" customFormat="false" ht="15" hidden="false" customHeight="false" outlineLevel="0" collapsed="false">
      <c r="A391" s="4" t="s">
        <v>408</v>
      </c>
      <c r="B391" s="4" t="s">
        <v>20</v>
      </c>
      <c r="C391" s="4" t="s">
        <v>35</v>
      </c>
      <c r="D391" s="5" t="n">
        <v>46041.5201388889</v>
      </c>
      <c r="E391" s="5" t="n">
        <v>46041.7034722222</v>
      </c>
      <c r="F391" s="5" t="n">
        <v>46041.9368055556</v>
      </c>
      <c r="G391" s="5" t="n">
        <v>46042.1534722222</v>
      </c>
      <c r="H391" s="5" t="n">
        <v>46042.3451388889</v>
      </c>
      <c r="I391" s="4" t="n">
        <v>12</v>
      </c>
      <c r="J391" s="6" t="n">
        <v>4.4</v>
      </c>
      <c r="K391" s="6" t="n">
        <v>5.6</v>
      </c>
      <c r="L391" s="6" t="n">
        <v>5.2</v>
      </c>
      <c r="M391" s="6" t="n">
        <v>4.6</v>
      </c>
      <c r="N391" s="6" t="n">
        <v>19.8</v>
      </c>
    </row>
    <row r="392" customFormat="false" ht="15" hidden="false" customHeight="false" outlineLevel="0" collapsed="false">
      <c r="A392" s="4" t="s">
        <v>409</v>
      </c>
      <c r="B392" s="4" t="s">
        <v>17</v>
      </c>
      <c r="C392" s="4" t="s">
        <v>18</v>
      </c>
      <c r="D392" s="5" t="n">
        <v>46058.71875</v>
      </c>
      <c r="E392" s="5" t="n">
        <v>46059.70625</v>
      </c>
      <c r="F392" s="5" t="n">
        <v>46060.0354166667</v>
      </c>
      <c r="G392" s="5" t="n">
        <v>46060.24375</v>
      </c>
      <c r="H392" s="5" t="n">
        <v>46060.58125</v>
      </c>
      <c r="I392" s="4" t="n">
        <v>17</v>
      </c>
      <c r="J392" s="6" t="n">
        <v>23.7</v>
      </c>
      <c r="K392" s="6" t="n">
        <v>7.9</v>
      </c>
      <c r="L392" s="6" t="n">
        <v>5</v>
      </c>
      <c r="M392" s="6" t="n">
        <v>8.1</v>
      </c>
      <c r="N392" s="6" t="n">
        <v>44.7</v>
      </c>
    </row>
    <row r="393" customFormat="false" ht="15" hidden="false" customHeight="false" outlineLevel="0" collapsed="false">
      <c r="A393" s="4" t="s">
        <v>410</v>
      </c>
      <c r="B393" s="4" t="s">
        <v>17</v>
      </c>
      <c r="C393" s="4" t="s">
        <v>18</v>
      </c>
      <c r="D393" s="5" t="n">
        <v>46068.8027777778</v>
      </c>
      <c r="E393" s="5" t="n">
        <v>46069.9486111111</v>
      </c>
      <c r="F393" s="5" t="n">
        <v>46070.3194444445</v>
      </c>
      <c r="G393" s="5" t="n">
        <v>46070.5736111111</v>
      </c>
      <c r="H393" s="5" t="n">
        <v>46070.7694444444</v>
      </c>
      <c r="I393" s="4" t="n">
        <v>19</v>
      </c>
      <c r="J393" s="6" t="n">
        <v>27.5</v>
      </c>
      <c r="K393" s="6" t="n">
        <v>8.9</v>
      </c>
      <c r="L393" s="6" t="n">
        <v>6.1</v>
      </c>
      <c r="M393" s="6" t="n">
        <v>4.7</v>
      </c>
      <c r="N393" s="6" t="n">
        <v>47.2</v>
      </c>
    </row>
    <row r="394" customFormat="false" ht="15" hidden="false" customHeight="false" outlineLevel="0" collapsed="false">
      <c r="A394" s="4" t="s">
        <v>411</v>
      </c>
      <c r="B394" s="4" t="s">
        <v>20</v>
      </c>
      <c r="C394" s="4" t="s">
        <v>18</v>
      </c>
      <c r="D394" s="5" t="n">
        <v>46081.8201388889</v>
      </c>
      <c r="E394" s="5" t="n">
        <v>46082.7493055556</v>
      </c>
      <c r="F394" s="5" t="n">
        <v>46082.9201388889</v>
      </c>
      <c r="G394" s="5" t="n">
        <v>46083.3451388889</v>
      </c>
      <c r="H394" s="5" t="n">
        <v>46083.5784722222</v>
      </c>
      <c r="I394" s="4" t="n">
        <v>19</v>
      </c>
      <c r="J394" s="6" t="n">
        <v>22.3</v>
      </c>
      <c r="K394" s="6" t="n">
        <v>4.1</v>
      </c>
      <c r="L394" s="6" t="n">
        <v>10.2</v>
      </c>
      <c r="M394" s="6" t="n">
        <v>5.6</v>
      </c>
      <c r="N394" s="6" t="n">
        <v>42.2</v>
      </c>
    </row>
    <row r="395" customFormat="false" ht="15" hidden="false" customHeight="false" outlineLevel="0" collapsed="false">
      <c r="A395" s="4" t="s">
        <v>412</v>
      </c>
      <c r="B395" s="4" t="s">
        <v>24</v>
      </c>
      <c r="C395" s="4" t="s">
        <v>53</v>
      </c>
      <c r="D395" s="5" t="n">
        <v>46201.3319444444</v>
      </c>
      <c r="E395" s="5" t="n">
        <v>46201.4486111111</v>
      </c>
      <c r="F395" s="5" t="n">
        <v>46201.6027777778</v>
      </c>
      <c r="G395" s="5" t="n">
        <v>46202.0944444445</v>
      </c>
      <c r="H395" s="5" t="n">
        <v>46202.2444444444</v>
      </c>
      <c r="I395" s="4" t="n">
        <v>7</v>
      </c>
      <c r="J395" s="6" t="n">
        <v>2.8</v>
      </c>
      <c r="K395" s="6" t="n">
        <v>3.7</v>
      </c>
      <c r="L395" s="6" t="n">
        <v>11.8</v>
      </c>
      <c r="M395" s="6" t="n">
        <v>3.6</v>
      </c>
      <c r="N395" s="6" t="n">
        <v>21.9</v>
      </c>
    </row>
    <row r="396" customFormat="false" ht="15" hidden="false" customHeight="false" outlineLevel="0" collapsed="false">
      <c r="A396" s="4" t="s">
        <v>413</v>
      </c>
      <c r="B396" s="4" t="s">
        <v>17</v>
      </c>
      <c r="C396" s="4" t="s">
        <v>53</v>
      </c>
      <c r="D396" s="5" t="n">
        <v>46191.5395833333</v>
      </c>
      <c r="E396" s="5" t="n">
        <v>46191.83125</v>
      </c>
      <c r="F396" s="5" t="n">
        <v>46192.0604166667</v>
      </c>
      <c r="G396" s="5" t="n">
        <v>46192.3020833333</v>
      </c>
      <c r="H396" s="5" t="n">
        <v>46192.5229166667</v>
      </c>
      <c r="I396" s="4" t="n">
        <v>12</v>
      </c>
      <c r="J396" s="6" t="n">
        <v>7</v>
      </c>
      <c r="K396" s="6" t="n">
        <v>5.5</v>
      </c>
      <c r="L396" s="6" t="n">
        <v>5.8</v>
      </c>
      <c r="M396" s="6" t="n">
        <v>5.3</v>
      </c>
      <c r="N396" s="6" t="n">
        <v>23.6</v>
      </c>
    </row>
    <row r="397" customFormat="false" ht="15" hidden="false" customHeight="false" outlineLevel="0" collapsed="false">
      <c r="A397" s="4" t="s">
        <v>414</v>
      </c>
      <c r="B397" s="4" t="s">
        <v>17</v>
      </c>
      <c r="C397" s="4" t="s">
        <v>35</v>
      </c>
      <c r="D397" s="5" t="n">
        <v>46128.6666666667</v>
      </c>
      <c r="E397" s="5" t="n">
        <v>46129.7125</v>
      </c>
      <c r="F397" s="5" t="n">
        <v>46130.0708333333</v>
      </c>
      <c r="G397" s="5" t="n">
        <v>46130.5833333333</v>
      </c>
      <c r="H397" s="5" t="n">
        <v>46130.775</v>
      </c>
      <c r="I397" s="4" t="n">
        <v>16</v>
      </c>
      <c r="J397" s="6" t="n">
        <v>25.1</v>
      </c>
      <c r="K397" s="6" t="n">
        <v>8.6</v>
      </c>
      <c r="L397" s="6" t="n">
        <v>12.3</v>
      </c>
      <c r="M397" s="6" t="n">
        <v>4.6</v>
      </c>
      <c r="N397" s="6" t="n">
        <v>50.6</v>
      </c>
    </row>
    <row r="398" customFormat="false" ht="15" hidden="false" customHeight="false" outlineLevel="0" collapsed="false">
      <c r="A398" s="4" t="s">
        <v>415</v>
      </c>
      <c r="B398" s="4" t="s">
        <v>17</v>
      </c>
      <c r="C398" s="4" t="s">
        <v>18</v>
      </c>
      <c r="D398" s="5" t="n">
        <v>46103.7291666667</v>
      </c>
      <c r="E398" s="5" t="n">
        <v>46104.5875</v>
      </c>
      <c r="F398" s="5" t="n">
        <v>46105.0833333333</v>
      </c>
      <c r="G398" s="5" t="n">
        <v>46105.5</v>
      </c>
      <c r="H398" s="5" t="n">
        <v>46105.8333333333</v>
      </c>
      <c r="I398" s="4" t="n">
        <v>17</v>
      </c>
      <c r="J398" s="6" t="n">
        <v>20.6</v>
      </c>
      <c r="K398" s="6" t="n">
        <v>11.9</v>
      </c>
      <c r="L398" s="6" t="n">
        <v>10</v>
      </c>
      <c r="M398" s="6" t="n">
        <v>8</v>
      </c>
      <c r="N398" s="6" t="n">
        <v>50.5</v>
      </c>
    </row>
    <row r="399" customFormat="false" ht="15" hidden="false" customHeight="false" outlineLevel="0" collapsed="false">
      <c r="A399" s="4" t="s">
        <v>416</v>
      </c>
      <c r="B399" s="4" t="s">
        <v>20</v>
      </c>
      <c r="C399" s="4" t="s">
        <v>35</v>
      </c>
      <c r="D399" s="5" t="n">
        <v>46193.50625</v>
      </c>
      <c r="E399" s="5" t="n">
        <v>46193.84375</v>
      </c>
      <c r="F399" s="5" t="n">
        <v>46194.0270833333</v>
      </c>
      <c r="G399" s="5" t="n">
        <v>46194.1770833333</v>
      </c>
      <c r="H399" s="5" t="n">
        <v>46194.5104166667</v>
      </c>
      <c r="I399" s="4" t="n">
        <v>12</v>
      </c>
      <c r="J399" s="6" t="n">
        <v>8.1</v>
      </c>
      <c r="K399" s="6" t="n">
        <v>4.4</v>
      </c>
      <c r="L399" s="6" t="n">
        <v>3.6</v>
      </c>
      <c r="M399" s="6" t="n">
        <v>8</v>
      </c>
      <c r="N399" s="6" t="n">
        <v>24.1</v>
      </c>
    </row>
    <row r="400" customFormat="false" ht="15" hidden="false" customHeight="false" outlineLevel="0" collapsed="false">
      <c r="A400" s="4" t="s">
        <v>417</v>
      </c>
      <c r="B400" s="4" t="s">
        <v>24</v>
      </c>
      <c r="C400" s="4" t="s">
        <v>18</v>
      </c>
      <c r="D400" s="5" t="n">
        <v>46108.7402777778</v>
      </c>
      <c r="E400" s="5" t="n">
        <v>46109.5861111111</v>
      </c>
      <c r="F400" s="5" t="n">
        <v>46109.8777777778</v>
      </c>
      <c r="G400" s="5" t="n">
        <v>46110.1402777778</v>
      </c>
      <c r="H400" s="5" t="n">
        <v>46110.4861111111</v>
      </c>
      <c r="I400" s="4" t="n">
        <v>17</v>
      </c>
      <c r="J400" s="6" t="n">
        <v>20.3</v>
      </c>
      <c r="K400" s="6" t="n">
        <v>7</v>
      </c>
      <c r="L400" s="6" t="n">
        <v>6.3</v>
      </c>
      <c r="M400" s="6" t="n">
        <v>8.3</v>
      </c>
      <c r="N400" s="6" t="n">
        <v>41.9</v>
      </c>
    </row>
    <row r="401" customFormat="false" ht="15" hidden="false" customHeight="false" outlineLevel="0" collapsed="false">
      <c r="A401" s="4" t="s">
        <v>418</v>
      </c>
      <c r="B401" s="4" t="s">
        <v>20</v>
      </c>
      <c r="C401" s="4" t="s">
        <v>35</v>
      </c>
      <c r="D401" s="5" t="n">
        <v>46176.7333333333</v>
      </c>
      <c r="E401" s="5" t="n">
        <v>46177.9083333333</v>
      </c>
      <c r="F401" s="5" t="n">
        <v>46178.1333333333</v>
      </c>
      <c r="G401" s="5" t="n">
        <v>46178.5833333333</v>
      </c>
      <c r="H401" s="5" t="n">
        <v>46178.8666666667</v>
      </c>
      <c r="I401" s="4" t="n">
        <v>17</v>
      </c>
      <c r="J401" s="6" t="n">
        <v>28.2</v>
      </c>
      <c r="K401" s="6" t="n">
        <v>5.4</v>
      </c>
      <c r="L401" s="6" t="n">
        <v>10.8</v>
      </c>
      <c r="M401" s="6" t="n">
        <v>6.8</v>
      </c>
      <c r="N401" s="6" t="n">
        <v>51.2</v>
      </c>
    </row>
    <row r="402" customFormat="false" ht="15" hidden="false" customHeight="false" outlineLevel="0" collapsed="false">
      <c r="A402" s="4" t="s">
        <v>419</v>
      </c>
      <c r="B402" s="4" t="s">
        <v>17</v>
      </c>
      <c r="C402" s="4" t="s">
        <v>18</v>
      </c>
      <c r="D402" s="5" t="n">
        <v>46198.5548611111</v>
      </c>
      <c r="E402" s="5" t="n">
        <v>46199.0048611111</v>
      </c>
      <c r="F402" s="5" t="n">
        <v>46199.4381944445</v>
      </c>
      <c r="G402" s="5" t="n">
        <v>46199.9631944444</v>
      </c>
      <c r="H402" s="5" t="n">
        <v>46200.1006944445</v>
      </c>
      <c r="I402" s="4" t="n">
        <v>13</v>
      </c>
      <c r="J402" s="6" t="n">
        <v>10.8</v>
      </c>
      <c r="K402" s="6" t="n">
        <v>10.4</v>
      </c>
      <c r="L402" s="6" t="n">
        <v>12.6</v>
      </c>
      <c r="M402" s="6" t="n">
        <v>3.3</v>
      </c>
      <c r="N402" s="6" t="n">
        <v>37.1</v>
      </c>
    </row>
    <row r="403" customFormat="false" ht="15" hidden="false" customHeight="false" outlineLevel="0" collapsed="false">
      <c r="A403" s="4" t="s">
        <v>420</v>
      </c>
      <c r="B403" s="4" t="s">
        <v>20</v>
      </c>
      <c r="C403" s="4" t="s">
        <v>18</v>
      </c>
      <c r="D403" s="5" t="n">
        <v>46093.7743055556</v>
      </c>
      <c r="E403" s="5" t="n">
        <v>46094.9243055556</v>
      </c>
      <c r="F403" s="5" t="n">
        <v>46095.0826388889</v>
      </c>
      <c r="G403" s="5" t="n">
        <v>46095.5201388889</v>
      </c>
      <c r="H403" s="5" t="n">
        <v>46095.6993055556</v>
      </c>
      <c r="I403" s="4" t="n">
        <v>18</v>
      </c>
      <c r="J403" s="6" t="n">
        <v>27.6</v>
      </c>
      <c r="K403" s="6" t="n">
        <v>3.8</v>
      </c>
      <c r="L403" s="6" t="n">
        <v>10.5</v>
      </c>
      <c r="M403" s="6" t="n">
        <v>4.3</v>
      </c>
      <c r="N403" s="6" t="n">
        <v>46.2</v>
      </c>
    </row>
    <row r="404" customFormat="false" ht="15" hidden="false" customHeight="false" outlineLevel="0" collapsed="false">
      <c r="A404" s="4" t="s">
        <v>421</v>
      </c>
      <c r="B404" s="4" t="s">
        <v>20</v>
      </c>
      <c r="C404" s="4" t="s">
        <v>18</v>
      </c>
      <c r="D404" s="5" t="n">
        <v>46105.6222222222</v>
      </c>
      <c r="E404" s="5" t="n">
        <v>46106.5930555556</v>
      </c>
      <c r="F404" s="5" t="n">
        <v>46106.7847222222</v>
      </c>
      <c r="G404" s="5" t="n">
        <v>46107.0430555556</v>
      </c>
      <c r="H404" s="5" t="n">
        <v>46107.3763888889</v>
      </c>
      <c r="I404" s="4" t="n">
        <v>14</v>
      </c>
      <c r="J404" s="6" t="n">
        <v>23.3</v>
      </c>
      <c r="K404" s="6" t="n">
        <v>4.6</v>
      </c>
      <c r="L404" s="6" t="n">
        <v>6.2</v>
      </c>
      <c r="M404" s="6" t="n">
        <v>8</v>
      </c>
      <c r="N404" s="6" t="n">
        <v>42.1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422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423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424</v>
      </c>
      <c r="B4" s="3" t="s">
        <v>425</v>
      </c>
      <c r="C4" s="3" t="s">
        <v>426</v>
      </c>
      <c r="D4" s="3" t="s">
        <v>427</v>
      </c>
      <c r="E4" s="3" t="s">
        <v>428</v>
      </c>
    </row>
    <row r="5" customFormat="false" ht="15" hidden="false" customHeight="false" outlineLevel="0" collapsed="false">
      <c r="A5" s="4" t="s">
        <v>429</v>
      </c>
      <c r="B5" s="6" t="n">
        <f aca="false">AVERAGE('Raw Order Data'!J5:J404)</f>
        <v>18.5095</v>
      </c>
      <c r="C5" s="7" t="n">
        <f aca="false">B5/24</f>
        <v>0.771229166666667</v>
      </c>
      <c r="D5" s="8" t="n">
        <f aca="false">B5/$B$9</f>
        <v>0.465618514558833</v>
      </c>
      <c r="E5" s="4" t="n">
        <f aca="false">COUNT('Raw Order Data'!J5:J404)</f>
        <v>400</v>
      </c>
    </row>
    <row r="6" customFormat="false" ht="15" hidden="false" customHeight="false" outlineLevel="0" collapsed="false">
      <c r="A6" s="4" t="s">
        <v>430</v>
      </c>
      <c r="B6" s="6" t="n">
        <f aca="false">AVERAGE('Raw Order Data'!K5:K404)</f>
        <v>7.14175</v>
      </c>
      <c r="C6" s="7" t="n">
        <f aca="false">B6/24</f>
        <v>0.297572916666667</v>
      </c>
      <c r="D6" s="8" t="n">
        <f aca="false">B6/$B$9</f>
        <v>0.179655367586944</v>
      </c>
      <c r="E6" s="4" t="n">
        <f aca="false">COUNT('Raw Order Data'!K5:K404)</f>
        <v>400</v>
      </c>
    </row>
    <row r="7" customFormat="false" ht="15" hidden="false" customHeight="false" outlineLevel="0" collapsed="false">
      <c r="A7" s="4" t="s">
        <v>431</v>
      </c>
      <c r="B7" s="6" t="n">
        <f aca="false">AVERAGE('Raw Order Data'!L5:L404)</f>
        <v>8.65125</v>
      </c>
      <c r="C7" s="7" t="n">
        <f aca="false">B7/24</f>
        <v>0.36046875</v>
      </c>
      <c r="D7" s="8" t="n">
        <f aca="false">B7/$B$9</f>
        <v>0.21762782214955</v>
      </c>
      <c r="E7" s="4" t="n">
        <f aca="false">COUNT('Raw Order Data'!L5:L404)</f>
        <v>400</v>
      </c>
    </row>
    <row r="8" customFormat="false" ht="15" hidden="false" customHeight="false" outlineLevel="0" collapsed="false">
      <c r="A8" s="4" t="s">
        <v>432</v>
      </c>
      <c r="B8" s="6" t="n">
        <f aca="false">AVERAGE('Raw Order Data'!M5:M404)</f>
        <v>5.45</v>
      </c>
      <c r="C8" s="7" t="n">
        <f aca="false">B8/24</f>
        <v>0.227083333333333</v>
      </c>
      <c r="D8" s="8" t="n">
        <f aca="false">B8/$B$9</f>
        <v>0.137098295704673</v>
      </c>
      <c r="E8" s="4" t="n">
        <f aca="false">COUNT('Raw Order Data'!M5:M404)</f>
        <v>400</v>
      </c>
    </row>
    <row r="9" customFormat="false" ht="15" hidden="false" customHeight="false" outlineLevel="0" collapsed="false">
      <c r="A9" s="9" t="s">
        <v>433</v>
      </c>
      <c r="B9" s="10" t="n">
        <f aca="false">SUM(B5:B8)</f>
        <v>39.7525</v>
      </c>
      <c r="C9" s="11" t="n">
        <f aca="false">B9/24</f>
        <v>1.65635416666667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19.7" hidden="false" customHeight="false" outlineLevel="0" collapsed="false">
      <c r="A1" s="1" t="s">
        <v>434</v>
      </c>
      <c r="B1" s="1"/>
      <c r="C1" s="1"/>
      <c r="D1" s="1"/>
    </row>
    <row r="2" customFormat="false" ht="15" hidden="false" customHeight="false" outlineLevel="0" collapsed="false">
      <c r="A2" s="2" t="s">
        <v>435</v>
      </c>
      <c r="B2" s="2"/>
      <c r="C2" s="2"/>
      <c r="D2" s="2"/>
    </row>
    <row r="4" customFormat="false" ht="26.85" hidden="false" customHeight="false" outlineLevel="0" collapsed="false">
      <c r="A4" s="3" t="s">
        <v>436</v>
      </c>
      <c r="B4" s="3" t="s">
        <v>437</v>
      </c>
      <c r="C4" s="3" t="s">
        <v>428</v>
      </c>
      <c r="D4" s="3" t="s">
        <v>438</v>
      </c>
    </row>
    <row r="5" customFormat="false" ht="15" hidden="false" customHeight="false" outlineLevel="0" collapsed="false">
      <c r="A5" s="4" t="s">
        <v>439</v>
      </c>
      <c r="B5" s="6" t="n">
        <f aca="false">AVERAGEIFS('Raw Order Data'!$J$5:$J$404,'Raw Order Data'!$I$5:$I$404,"&gt;="&amp;7,'Raw Order Data'!$I$5:$I$404,"&lt;="&amp;9)</f>
        <v>4.47435897435897</v>
      </c>
      <c r="C5" s="4" t="n">
        <f aca="false">COUNTIFS('Raw Order Data'!$I$5:$I$404,"&gt;="&amp;7,'Raw Order Data'!$I$5:$I$404,"&lt;="&amp;9)</f>
        <v>39</v>
      </c>
      <c r="D5" s="12" t="n">
        <f aca="false">B5/$B$5-1</f>
        <v>0</v>
      </c>
    </row>
    <row r="6" customFormat="false" ht="15" hidden="false" customHeight="false" outlineLevel="0" collapsed="false">
      <c r="A6" s="4" t="s">
        <v>440</v>
      </c>
      <c r="B6" s="6" t="n">
        <f aca="false">AVERAGEIFS('Raw Order Data'!$J$5:$J$404,'Raw Order Data'!$I$5:$I$404,"&gt;="&amp;10,'Raw Order Data'!$I$5:$I$404,"&lt;="&amp;13)</f>
        <v>7.95471698113208</v>
      </c>
      <c r="C6" s="4" t="n">
        <f aca="false">COUNTIFS('Raw Order Data'!$I$5:$I$404,"&gt;="&amp;10,'Raw Order Data'!$I$5:$I$404,"&lt;="&amp;13)</f>
        <v>106</v>
      </c>
      <c r="D6" s="12" t="n">
        <f aca="false">B6/$B$5-1</f>
        <v>0.77784505595502</v>
      </c>
    </row>
    <row r="7" customFormat="false" ht="15" hidden="false" customHeight="false" outlineLevel="0" collapsed="false">
      <c r="A7" s="4" t="s">
        <v>441</v>
      </c>
      <c r="B7" s="6" t="n">
        <f aca="false">AVERAGEIFS('Raw Order Data'!$J$5:$J$404,'Raw Order Data'!$I$5:$I$404,"&gt;="&amp;14,'Raw Order Data'!$I$5:$I$404,"&lt;="&amp;21)</f>
        <v>25.0435294117647</v>
      </c>
      <c r="C7" s="4" t="n">
        <f aca="false">COUNTIFS('Raw Order Data'!$I$5:$I$404,"&gt;="&amp;14,'Raw Order Data'!$I$5:$I$404,"&lt;="&amp;21)</f>
        <v>255</v>
      </c>
      <c r="D7" s="12" t="n">
        <f aca="false">B7/$B$5-1</f>
        <v>4.59712118658352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15" hidden="false" customHeight="false" outlineLevel="0" collapsed="false">
      <c r="A1" s="2" t="s">
        <v>442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3" t="s">
        <v>2</v>
      </c>
      <c r="B3" s="13" t="s">
        <v>3</v>
      </c>
      <c r="C3" s="13" t="s">
        <v>4</v>
      </c>
      <c r="D3" s="13" t="s">
        <v>443</v>
      </c>
      <c r="E3" s="13" t="s">
        <v>10</v>
      </c>
      <c r="F3" s="13" t="s">
        <v>444</v>
      </c>
      <c r="G3" s="13" t="s">
        <v>445</v>
      </c>
      <c r="H3" s="13" t="s">
        <v>446</v>
      </c>
      <c r="I3" s="13" t="s">
        <v>447</v>
      </c>
      <c r="J3" s="13" t="s">
        <v>448</v>
      </c>
    </row>
    <row r="4" customFormat="false" ht="15" hidden="false" customHeight="false" outlineLevel="0" collapsed="false">
      <c r="A4" s="4" t="s">
        <v>16</v>
      </c>
      <c r="B4" s="4" t="s">
        <v>17</v>
      </c>
      <c r="C4" s="4" t="s">
        <v>18</v>
      </c>
      <c r="D4" s="14" t="n">
        <v>46097</v>
      </c>
      <c r="E4" s="4" t="n">
        <v>12</v>
      </c>
      <c r="F4" s="4" t="n">
        <v>9.9</v>
      </c>
      <c r="G4" s="4" t="n">
        <v>8.8</v>
      </c>
      <c r="H4" s="4" t="n">
        <v>12.8</v>
      </c>
      <c r="I4" s="4" t="n">
        <v>2.6</v>
      </c>
      <c r="J4" s="4" t="n">
        <v>34.1</v>
      </c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18</v>
      </c>
      <c r="D5" s="14" t="n">
        <v>46082</v>
      </c>
      <c r="E5" s="4" t="n">
        <v>11</v>
      </c>
      <c r="F5" s="4" t="n">
        <v>4.2</v>
      </c>
      <c r="G5" s="4" t="n">
        <v>4</v>
      </c>
      <c r="H5" s="4" t="n">
        <v>10.1</v>
      </c>
      <c r="I5" s="4" t="n">
        <v>5.8</v>
      </c>
      <c r="J5" s="4" t="n">
        <v>24.1</v>
      </c>
    </row>
    <row r="6" customFormat="false" ht="15" hidden="false" customHeight="false" outlineLevel="0" collapsed="false">
      <c r="A6" s="4" t="s">
        <v>21</v>
      </c>
      <c r="B6" s="4" t="s">
        <v>20</v>
      </c>
      <c r="C6" s="4" t="s">
        <v>18</v>
      </c>
      <c r="D6" s="14" t="n">
        <v>46028</v>
      </c>
      <c r="E6" s="4" t="n">
        <v>18</v>
      </c>
      <c r="F6" s="4" t="n">
        <v>27</v>
      </c>
      <c r="G6" s="4" t="n">
        <v>5.4</v>
      </c>
      <c r="H6" s="4" t="n">
        <v>4.7</v>
      </c>
      <c r="I6" s="4" t="n">
        <v>8.7</v>
      </c>
      <c r="J6" s="4" t="n">
        <v>45.8</v>
      </c>
    </row>
    <row r="7" customFormat="false" ht="15" hidden="false" customHeight="false" outlineLevel="0" collapsed="false">
      <c r="A7" s="4" t="s">
        <v>22</v>
      </c>
      <c r="B7" s="4" t="s">
        <v>20</v>
      </c>
      <c r="C7" s="4" t="s">
        <v>18</v>
      </c>
      <c r="D7" s="14" t="n">
        <v>46051</v>
      </c>
      <c r="E7" s="4" t="n">
        <v>13</v>
      </c>
      <c r="F7" s="4" t="n">
        <v>8.8</v>
      </c>
      <c r="G7" s="4" t="n">
        <v>10.1</v>
      </c>
      <c r="H7" s="4" t="n">
        <v>11</v>
      </c>
      <c r="I7" s="4" t="n">
        <v>5.8</v>
      </c>
      <c r="J7" s="4" t="n">
        <v>35.7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18</v>
      </c>
      <c r="D8" s="14" t="n">
        <v>46168</v>
      </c>
      <c r="E8" s="4" t="n">
        <v>12</v>
      </c>
      <c r="F8" s="4" t="n">
        <v>8.9</v>
      </c>
      <c r="G8" s="4" t="n">
        <v>10.6</v>
      </c>
      <c r="H8" s="4" t="n">
        <v>9.4</v>
      </c>
      <c r="I8" s="4" t="n">
        <v>6.9</v>
      </c>
      <c r="J8" s="4" t="n">
        <v>35.8</v>
      </c>
    </row>
    <row r="9" customFormat="false" ht="15" hidden="false" customHeight="false" outlineLevel="0" collapsed="false">
      <c r="A9" s="4" t="s">
        <v>25</v>
      </c>
      <c r="B9" s="4" t="s">
        <v>20</v>
      </c>
      <c r="C9" s="4" t="s">
        <v>18</v>
      </c>
      <c r="D9" s="14" t="n">
        <v>46101</v>
      </c>
      <c r="E9" s="4" t="n">
        <v>21</v>
      </c>
      <c r="F9" s="4" t="n">
        <v>22.3</v>
      </c>
      <c r="G9" s="4" t="n">
        <v>3</v>
      </c>
      <c r="H9" s="4" t="n">
        <v>6.1</v>
      </c>
      <c r="I9" s="4" t="n">
        <v>6.4</v>
      </c>
      <c r="J9" s="4" t="n">
        <v>37.8</v>
      </c>
    </row>
    <row r="10" customFormat="false" ht="15" hidden="false" customHeight="false" outlineLevel="0" collapsed="false">
      <c r="A10" s="4" t="s">
        <v>26</v>
      </c>
      <c r="B10" s="4" t="s">
        <v>20</v>
      </c>
      <c r="C10" s="4" t="s">
        <v>18</v>
      </c>
      <c r="D10" s="14" t="n">
        <v>46080</v>
      </c>
      <c r="E10" s="4" t="n">
        <v>17</v>
      </c>
      <c r="F10" s="4" t="n">
        <v>29.4</v>
      </c>
      <c r="G10" s="4" t="n">
        <v>8.5</v>
      </c>
      <c r="H10" s="4" t="n">
        <v>9.7</v>
      </c>
      <c r="I10" s="4" t="n">
        <v>3.2</v>
      </c>
      <c r="J10" s="4" t="n">
        <v>50.8</v>
      </c>
    </row>
    <row r="11" customFormat="false" ht="15" hidden="false" customHeight="false" outlineLevel="0" collapsed="false">
      <c r="A11" s="4" t="s">
        <v>27</v>
      </c>
      <c r="B11" s="4" t="s">
        <v>17</v>
      </c>
      <c r="C11" s="4" t="s">
        <v>18</v>
      </c>
      <c r="D11" s="14" t="n">
        <v>46124</v>
      </c>
      <c r="E11" s="4" t="n">
        <v>12</v>
      </c>
      <c r="F11" s="4" t="n">
        <v>9.1</v>
      </c>
      <c r="G11" s="4" t="n">
        <v>7.6</v>
      </c>
      <c r="H11" s="4" t="n">
        <v>10.5</v>
      </c>
      <c r="I11" s="4" t="n">
        <v>7.9</v>
      </c>
      <c r="J11" s="4" t="n">
        <v>35.1</v>
      </c>
    </row>
    <row r="12" customFormat="false" ht="15" hidden="false" customHeight="false" outlineLevel="0" collapsed="false">
      <c r="A12" s="4" t="s">
        <v>28</v>
      </c>
      <c r="B12" s="4" t="s">
        <v>24</v>
      </c>
      <c r="C12" s="4" t="s">
        <v>18</v>
      </c>
      <c r="D12" s="14" t="n">
        <v>46035</v>
      </c>
      <c r="E12" s="4" t="n">
        <v>19</v>
      </c>
      <c r="F12" s="4" t="n">
        <v>22.7</v>
      </c>
      <c r="G12" s="4" t="n">
        <v>4.1</v>
      </c>
      <c r="H12" s="4" t="n">
        <v>13.4</v>
      </c>
      <c r="I12" s="4" t="n">
        <v>8.1</v>
      </c>
      <c r="J12" s="4" t="n">
        <v>48.3</v>
      </c>
    </row>
    <row r="13" customFormat="false" ht="15" hidden="false" customHeight="false" outlineLevel="0" collapsed="false">
      <c r="A13" s="4" t="s">
        <v>29</v>
      </c>
      <c r="B13" s="4" t="s">
        <v>20</v>
      </c>
      <c r="C13" s="4" t="s">
        <v>18</v>
      </c>
      <c r="D13" s="14" t="n">
        <v>46128</v>
      </c>
      <c r="E13" s="4" t="n">
        <v>19</v>
      </c>
      <c r="F13" s="4" t="n">
        <v>24.6</v>
      </c>
      <c r="G13" s="4" t="n">
        <v>4.6</v>
      </c>
      <c r="H13" s="4" t="n">
        <v>5.7</v>
      </c>
      <c r="I13" s="4" t="n">
        <v>5.9</v>
      </c>
      <c r="J13" s="4" t="n">
        <v>40.8</v>
      </c>
    </row>
    <row r="14" customFormat="false" ht="15" hidden="false" customHeight="false" outlineLevel="0" collapsed="false">
      <c r="A14" s="4" t="s">
        <v>30</v>
      </c>
      <c r="B14" s="4" t="s">
        <v>20</v>
      </c>
      <c r="C14" s="4" t="s">
        <v>18</v>
      </c>
      <c r="D14" s="14" t="n">
        <v>46176</v>
      </c>
      <c r="E14" s="4" t="n">
        <v>14</v>
      </c>
      <c r="F14" s="4" t="n">
        <v>30</v>
      </c>
      <c r="G14" s="4" t="n">
        <v>3.4</v>
      </c>
      <c r="H14" s="4" t="n">
        <v>8.4</v>
      </c>
      <c r="I14" s="4" t="n">
        <v>7.3</v>
      </c>
      <c r="J14" s="4" t="n">
        <v>49.1</v>
      </c>
    </row>
    <row r="15" customFormat="false" ht="15" hidden="false" customHeight="false" outlineLevel="0" collapsed="false">
      <c r="A15" s="4" t="s">
        <v>31</v>
      </c>
      <c r="B15" s="4" t="s">
        <v>24</v>
      </c>
      <c r="C15" s="4" t="s">
        <v>18</v>
      </c>
      <c r="D15" s="14" t="n">
        <v>46067</v>
      </c>
      <c r="E15" s="4" t="n">
        <v>18</v>
      </c>
      <c r="F15" s="4" t="n">
        <v>26</v>
      </c>
      <c r="G15" s="4" t="n">
        <v>5.8</v>
      </c>
      <c r="H15" s="4" t="n">
        <v>9.6</v>
      </c>
      <c r="I15" s="4" t="n">
        <v>5.3</v>
      </c>
      <c r="J15" s="4" t="n">
        <v>46.7</v>
      </c>
    </row>
    <row r="16" customFormat="false" ht="15" hidden="false" customHeight="false" outlineLevel="0" collapsed="false">
      <c r="A16" s="4" t="s">
        <v>32</v>
      </c>
      <c r="B16" s="4" t="s">
        <v>20</v>
      </c>
      <c r="C16" s="4" t="s">
        <v>18</v>
      </c>
      <c r="D16" s="14" t="n">
        <v>46029</v>
      </c>
      <c r="E16" s="4" t="n">
        <v>17</v>
      </c>
      <c r="F16" s="4" t="n">
        <v>26.8</v>
      </c>
      <c r="G16" s="4" t="n">
        <v>7.4</v>
      </c>
      <c r="H16" s="4" t="n">
        <v>5.9</v>
      </c>
      <c r="I16" s="4" t="n">
        <v>6.5</v>
      </c>
      <c r="J16" s="4" t="n">
        <v>46.6</v>
      </c>
    </row>
    <row r="17" customFormat="false" ht="15" hidden="false" customHeight="false" outlineLevel="0" collapsed="false">
      <c r="A17" s="4" t="s">
        <v>33</v>
      </c>
      <c r="B17" s="4" t="s">
        <v>20</v>
      </c>
      <c r="C17" s="4" t="s">
        <v>18</v>
      </c>
      <c r="D17" s="14" t="n">
        <v>46143</v>
      </c>
      <c r="E17" s="4" t="n">
        <v>7</v>
      </c>
      <c r="F17" s="4" t="n">
        <v>7.3</v>
      </c>
      <c r="G17" s="4" t="n">
        <v>4.6</v>
      </c>
      <c r="H17" s="4" t="n">
        <v>8.5</v>
      </c>
      <c r="I17" s="4" t="n">
        <v>3.3</v>
      </c>
      <c r="J17" s="4" t="n">
        <v>23.7</v>
      </c>
    </row>
    <row r="18" customFormat="false" ht="15" hidden="false" customHeight="false" outlineLevel="0" collapsed="false">
      <c r="A18" s="4" t="s">
        <v>34</v>
      </c>
      <c r="B18" s="4" t="s">
        <v>24</v>
      </c>
      <c r="C18" s="4" t="s">
        <v>35</v>
      </c>
      <c r="D18" s="14" t="n">
        <v>46103</v>
      </c>
      <c r="E18" s="4" t="n">
        <v>19</v>
      </c>
      <c r="F18" s="4" t="n">
        <v>26.1</v>
      </c>
      <c r="G18" s="4" t="n">
        <v>3.5</v>
      </c>
      <c r="H18" s="4" t="n">
        <v>11.4</v>
      </c>
      <c r="I18" s="4" t="n">
        <v>5.8</v>
      </c>
      <c r="J18" s="4" t="n">
        <v>46.8</v>
      </c>
    </row>
    <row r="19" customFormat="false" ht="15" hidden="false" customHeight="false" outlineLevel="0" collapsed="false">
      <c r="A19" s="4" t="s">
        <v>36</v>
      </c>
      <c r="B19" s="4" t="s">
        <v>24</v>
      </c>
      <c r="C19" s="4" t="s">
        <v>18</v>
      </c>
      <c r="D19" s="14" t="n">
        <v>46027</v>
      </c>
      <c r="E19" s="4" t="n">
        <v>16</v>
      </c>
      <c r="F19" s="4" t="n">
        <v>20.2</v>
      </c>
      <c r="G19" s="4" t="n">
        <v>11.3</v>
      </c>
      <c r="H19" s="4" t="n">
        <v>12.7</v>
      </c>
      <c r="I19" s="4" t="n">
        <v>7.8</v>
      </c>
      <c r="J19" s="4" t="n">
        <v>52</v>
      </c>
    </row>
    <row r="20" customFormat="false" ht="15" hidden="false" customHeight="false" outlineLevel="0" collapsed="false">
      <c r="A20" s="4" t="s">
        <v>37</v>
      </c>
      <c r="B20" s="4" t="s">
        <v>20</v>
      </c>
      <c r="C20" s="4" t="s">
        <v>18</v>
      </c>
      <c r="D20" s="14" t="n">
        <v>46172</v>
      </c>
      <c r="E20" s="4" t="n">
        <v>20</v>
      </c>
      <c r="F20" s="4" t="n">
        <v>27.3</v>
      </c>
      <c r="G20" s="4" t="n">
        <v>10.2</v>
      </c>
      <c r="H20" s="4" t="n">
        <v>13.8</v>
      </c>
      <c r="I20" s="4" t="n">
        <v>5.7</v>
      </c>
      <c r="J20" s="4" t="n">
        <v>57</v>
      </c>
    </row>
    <row r="21" customFormat="false" ht="15" hidden="false" customHeight="false" outlineLevel="0" collapsed="false">
      <c r="A21" s="4" t="s">
        <v>38</v>
      </c>
      <c r="B21" s="4" t="s">
        <v>20</v>
      </c>
      <c r="C21" s="4" t="s">
        <v>18</v>
      </c>
      <c r="D21" s="14" t="n">
        <v>46167</v>
      </c>
      <c r="E21" s="4" t="n">
        <v>10</v>
      </c>
      <c r="F21" s="4" t="n">
        <v>11</v>
      </c>
      <c r="G21" s="4" t="n">
        <v>6.2</v>
      </c>
      <c r="H21" s="4" t="n">
        <v>5.3</v>
      </c>
      <c r="I21" s="4" t="n">
        <v>5.8</v>
      </c>
      <c r="J21" s="4" t="n">
        <v>28.3</v>
      </c>
    </row>
    <row r="22" customFormat="false" ht="15" hidden="false" customHeight="false" outlineLevel="0" collapsed="false">
      <c r="A22" s="4" t="s">
        <v>39</v>
      </c>
      <c r="B22" s="4" t="s">
        <v>17</v>
      </c>
      <c r="C22" s="4" t="s">
        <v>18</v>
      </c>
      <c r="D22" s="14" t="n">
        <v>46106</v>
      </c>
      <c r="E22" s="4" t="n">
        <v>14</v>
      </c>
      <c r="F22" s="4" t="n">
        <v>26.5</v>
      </c>
      <c r="G22" s="4" t="n">
        <v>6.4</v>
      </c>
      <c r="H22" s="4" t="n">
        <v>8.7</v>
      </c>
      <c r="I22" s="4" t="n">
        <v>2.8</v>
      </c>
      <c r="J22" s="4" t="n">
        <v>44.4</v>
      </c>
    </row>
    <row r="23" customFormat="false" ht="15" hidden="false" customHeight="false" outlineLevel="0" collapsed="false">
      <c r="A23" s="4" t="s">
        <v>40</v>
      </c>
      <c r="B23" s="4" t="s">
        <v>20</v>
      </c>
      <c r="C23" s="4" t="s">
        <v>18</v>
      </c>
      <c r="D23" s="14" t="n">
        <v>46177</v>
      </c>
      <c r="E23" s="4" t="n">
        <v>15</v>
      </c>
      <c r="F23" s="4" t="n">
        <v>22.2</v>
      </c>
      <c r="G23" s="4" t="n">
        <v>2.7</v>
      </c>
      <c r="H23" s="4" t="n">
        <v>9.9</v>
      </c>
      <c r="I23" s="4" t="n">
        <v>3.6</v>
      </c>
      <c r="J23" s="4" t="n">
        <v>38.4</v>
      </c>
    </row>
    <row r="24" customFormat="false" ht="15" hidden="false" customHeight="false" outlineLevel="0" collapsed="false">
      <c r="A24" s="4" t="s">
        <v>41</v>
      </c>
      <c r="B24" s="4" t="s">
        <v>24</v>
      </c>
      <c r="C24" s="4" t="s">
        <v>35</v>
      </c>
      <c r="D24" s="14" t="n">
        <v>46045</v>
      </c>
      <c r="E24" s="4" t="n">
        <v>15</v>
      </c>
      <c r="F24" s="4" t="n">
        <v>26.7</v>
      </c>
      <c r="G24" s="4" t="n">
        <v>4.1</v>
      </c>
      <c r="H24" s="4" t="n">
        <v>4.5</v>
      </c>
      <c r="I24" s="4" t="n">
        <v>8.5</v>
      </c>
      <c r="J24" s="4" t="n">
        <v>43.8</v>
      </c>
    </row>
    <row r="25" customFormat="false" ht="15" hidden="false" customHeight="false" outlineLevel="0" collapsed="false">
      <c r="A25" s="4" t="s">
        <v>42</v>
      </c>
      <c r="B25" s="4" t="s">
        <v>17</v>
      </c>
      <c r="C25" s="4" t="s">
        <v>18</v>
      </c>
      <c r="D25" s="14" t="n">
        <v>46148</v>
      </c>
      <c r="E25" s="4" t="n">
        <v>19</v>
      </c>
      <c r="F25" s="4" t="n">
        <v>20.9</v>
      </c>
      <c r="G25" s="4" t="n">
        <v>8.6</v>
      </c>
      <c r="H25" s="4" t="n">
        <v>6.9</v>
      </c>
      <c r="I25" s="4" t="n">
        <v>4.9</v>
      </c>
      <c r="J25" s="4" t="n">
        <v>41.3</v>
      </c>
    </row>
    <row r="26" customFormat="false" ht="15" hidden="false" customHeight="false" outlineLevel="0" collapsed="false">
      <c r="A26" s="4" t="s">
        <v>43</v>
      </c>
      <c r="B26" s="4" t="s">
        <v>24</v>
      </c>
      <c r="C26" s="4" t="s">
        <v>18</v>
      </c>
      <c r="D26" s="14" t="n">
        <v>46194</v>
      </c>
      <c r="E26" s="4" t="n">
        <v>21</v>
      </c>
      <c r="F26" s="4" t="n">
        <v>20.6</v>
      </c>
      <c r="G26" s="4" t="n">
        <v>9.3</v>
      </c>
      <c r="H26" s="4" t="n">
        <v>11.8</v>
      </c>
      <c r="I26" s="4" t="n">
        <v>2.8</v>
      </c>
      <c r="J26" s="4" t="n">
        <v>44.5</v>
      </c>
    </row>
    <row r="27" customFormat="false" ht="15" hidden="false" customHeight="false" outlineLevel="0" collapsed="false">
      <c r="A27" s="4" t="s">
        <v>44</v>
      </c>
      <c r="B27" s="4" t="s">
        <v>20</v>
      </c>
      <c r="C27" s="4" t="s">
        <v>18</v>
      </c>
      <c r="D27" s="14" t="n">
        <v>46062</v>
      </c>
      <c r="E27" s="4" t="n">
        <v>14</v>
      </c>
      <c r="F27" s="4" t="n">
        <v>24.6</v>
      </c>
      <c r="G27" s="4" t="n">
        <v>10.7</v>
      </c>
      <c r="H27" s="4" t="n">
        <v>3.8</v>
      </c>
      <c r="I27" s="4" t="n">
        <v>7.7</v>
      </c>
      <c r="J27" s="4" t="n">
        <v>46.8</v>
      </c>
    </row>
    <row r="28" customFormat="false" ht="15" hidden="false" customHeight="false" outlineLevel="0" collapsed="false">
      <c r="A28" s="4" t="s">
        <v>45</v>
      </c>
      <c r="B28" s="4" t="s">
        <v>24</v>
      </c>
      <c r="C28" s="4" t="s">
        <v>18</v>
      </c>
      <c r="D28" s="14" t="n">
        <v>46193</v>
      </c>
      <c r="E28" s="4" t="n">
        <v>21</v>
      </c>
      <c r="F28" s="4" t="n">
        <v>20.1</v>
      </c>
      <c r="G28" s="4" t="n">
        <v>2.9</v>
      </c>
      <c r="H28" s="4" t="n">
        <v>11.3</v>
      </c>
      <c r="I28" s="4" t="n">
        <v>3.7</v>
      </c>
      <c r="J28" s="4" t="n">
        <v>38</v>
      </c>
    </row>
    <row r="29" customFormat="false" ht="15" hidden="false" customHeight="false" outlineLevel="0" collapsed="false">
      <c r="A29" s="4" t="s">
        <v>46</v>
      </c>
      <c r="B29" s="4" t="s">
        <v>20</v>
      </c>
      <c r="C29" s="4" t="s">
        <v>18</v>
      </c>
      <c r="D29" s="14" t="n">
        <v>46129</v>
      </c>
      <c r="E29" s="4" t="n">
        <v>20</v>
      </c>
      <c r="F29" s="4" t="n">
        <v>23.8</v>
      </c>
      <c r="G29" s="4" t="n">
        <v>11.9</v>
      </c>
      <c r="H29" s="4" t="n">
        <v>5.9</v>
      </c>
      <c r="I29" s="4" t="n">
        <v>7.5</v>
      </c>
      <c r="J29" s="4" t="n">
        <v>49.1</v>
      </c>
    </row>
    <row r="30" customFormat="false" ht="15" hidden="false" customHeight="false" outlineLevel="0" collapsed="false">
      <c r="A30" s="4" t="s">
        <v>47</v>
      </c>
      <c r="B30" s="4" t="s">
        <v>17</v>
      </c>
      <c r="C30" s="4" t="s">
        <v>18</v>
      </c>
      <c r="D30" s="14" t="n">
        <v>46169</v>
      </c>
      <c r="E30" s="4" t="n">
        <v>17</v>
      </c>
      <c r="F30" s="4" t="n">
        <v>21.5</v>
      </c>
      <c r="G30" s="4" t="n">
        <v>5</v>
      </c>
      <c r="H30" s="4" t="n">
        <v>13.7</v>
      </c>
      <c r="I30" s="4" t="n">
        <v>6.1</v>
      </c>
      <c r="J30" s="4" t="n">
        <v>46.3</v>
      </c>
    </row>
    <row r="31" customFormat="false" ht="15" hidden="false" customHeight="false" outlineLevel="0" collapsed="false">
      <c r="A31" s="4" t="s">
        <v>48</v>
      </c>
      <c r="B31" s="4" t="s">
        <v>17</v>
      </c>
      <c r="C31" s="4" t="s">
        <v>35</v>
      </c>
      <c r="D31" s="14" t="n">
        <v>46041</v>
      </c>
      <c r="E31" s="4" t="n">
        <v>8</v>
      </c>
      <c r="F31" s="4" t="n">
        <v>5</v>
      </c>
      <c r="G31" s="4" t="n">
        <v>10.5</v>
      </c>
      <c r="H31" s="4" t="n">
        <v>4.7</v>
      </c>
      <c r="I31" s="4" t="n">
        <v>8.7</v>
      </c>
      <c r="J31" s="4" t="n">
        <v>28.9</v>
      </c>
    </row>
    <row r="32" customFormat="false" ht="15" hidden="false" customHeight="false" outlineLevel="0" collapsed="false">
      <c r="A32" s="4" t="s">
        <v>49</v>
      </c>
      <c r="B32" s="4" t="s">
        <v>20</v>
      </c>
      <c r="C32" s="4" t="s">
        <v>18</v>
      </c>
      <c r="D32" s="14" t="n">
        <v>46179</v>
      </c>
      <c r="E32" s="4" t="n">
        <v>9</v>
      </c>
      <c r="F32" s="4" t="n">
        <v>3.4</v>
      </c>
      <c r="G32" s="4" t="n">
        <v>3.2</v>
      </c>
      <c r="H32" s="4" t="n">
        <v>12.8</v>
      </c>
      <c r="I32" s="4" t="n">
        <v>3.7</v>
      </c>
      <c r="J32" s="4" t="n">
        <v>23.1</v>
      </c>
    </row>
    <row r="33" customFormat="false" ht="15" hidden="false" customHeight="false" outlineLevel="0" collapsed="false">
      <c r="A33" s="4" t="s">
        <v>50</v>
      </c>
      <c r="B33" s="4" t="s">
        <v>17</v>
      </c>
      <c r="C33" s="4" t="s">
        <v>18</v>
      </c>
      <c r="D33" s="14" t="n">
        <v>46134</v>
      </c>
      <c r="E33" s="4" t="n">
        <v>17</v>
      </c>
      <c r="F33" s="4" t="n">
        <v>25.2</v>
      </c>
      <c r="G33" s="4" t="n">
        <v>11.3</v>
      </c>
      <c r="H33" s="4" t="n">
        <v>5.2</v>
      </c>
      <c r="I33" s="4" t="n">
        <v>7</v>
      </c>
      <c r="J33" s="4" t="n">
        <v>48.7</v>
      </c>
    </row>
    <row r="34" customFormat="false" ht="15" hidden="false" customHeight="false" outlineLevel="0" collapsed="false">
      <c r="A34" s="4" t="s">
        <v>51</v>
      </c>
      <c r="B34" s="4" t="s">
        <v>20</v>
      </c>
      <c r="C34" s="4" t="s">
        <v>18</v>
      </c>
      <c r="D34" s="14" t="n">
        <v>46198</v>
      </c>
      <c r="E34" s="4" t="n">
        <v>17</v>
      </c>
      <c r="F34" s="4" t="n">
        <v>23.2</v>
      </c>
      <c r="G34" s="4" t="n">
        <v>9.5</v>
      </c>
      <c r="H34" s="4" t="n">
        <v>3.8</v>
      </c>
      <c r="I34" s="4" t="n">
        <v>5.2</v>
      </c>
      <c r="J34" s="4" t="n">
        <v>41.7</v>
      </c>
    </row>
    <row r="35" customFormat="false" ht="15" hidden="false" customHeight="false" outlineLevel="0" collapsed="false">
      <c r="A35" s="4" t="s">
        <v>52</v>
      </c>
      <c r="B35" s="4" t="s">
        <v>24</v>
      </c>
      <c r="C35" s="4" t="s">
        <v>53</v>
      </c>
      <c r="D35" s="14" t="n">
        <v>46045</v>
      </c>
      <c r="E35" s="4" t="n">
        <v>15</v>
      </c>
      <c r="F35" s="4" t="n">
        <v>22.7</v>
      </c>
      <c r="G35" s="4" t="n">
        <v>11.3</v>
      </c>
      <c r="H35" s="4" t="n">
        <v>12.7</v>
      </c>
      <c r="I35" s="4" t="n">
        <v>8.2</v>
      </c>
      <c r="J35" s="4" t="n">
        <v>54.9</v>
      </c>
    </row>
    <row r="36" customFormat="false" ht="15" hidden="false" customHeight="false" outlineLevel="0" collapsed="false">
      <c r="A36" s="4" t="s">
        <v>54</v>
      </c>
      <c r="B36" s="4" t="s">
        <v>20</v>
      </c>
      <c r="C36" s="4" t="s">
        <v>18</v>
      </c>
      <c r="D36" s="14" t="n">
        <v>46166</v>
      </c>
      <c r="E36" s="4" t="n">
        <v>17</v>
      </c>
      <c r="F36" s="4" t="n">
        <v>29.8</v>
      </c>
      <c r="G36" s="4" t="n">
        <v>10.1</v>
      </c>
      <c r="H36" s="4" t="n">
        <v>8.8</v>
      </c>
      <c r="I36" s="4" t="n">
        <v>6.7</v>
      </c>
      <c r="J36" s="4" t="n">
        <v>55.4</v>
      </c>
    </row>
    <row r="37" customFormat="false" ht="15" hidden="false" customHeight="false" outlineLevel="0" collapsed="false">
      <c r="A37" s="4" t="s">
        <v>55</v>
      </c>
      <c r="B37" s="4" t="s">
        <v>17</v>
      </c>
      <c r="C37" s="4" t="s">
        <v>53</v>
      </c>
      <c r="D37" s="14" t="n">
        <v>46053</v>
      </c>
      <c r="E37" s="4" t="n">
        <v>20</v>
      </c>
      <c r="F37" s="4" t="n">
        <v>22.6</v>
      </c>
      <c r="G37" s="4" t="n">
        <v>10.9</v>
      </c>
      <c r="H37" s="4" t="n">
        <v>11.2</v>
      </c>
      <c r="I37" s="4" t="n">
        <v>3.1</v>
      </c>
      <c r="J37" s="4" t="n">
        <v>47.8</v>
      </c>
    </row>
    <row r="38" customFormat="false" ht="15" hidden="false" customHeight="false" outlineLevel="0" collapsed="false">
      <c r="A38" s="4" t="s">
        <v>56</v>
      </c>
      <c r="B38" s="4" t="s">
        <v>20</v>
      </c>
      <c r="C38" s="4" t="s">
        <v>18</v>
      </c>
      <c r="D38" s="14" t="n">
        <v>46114</v>
      </c>
      <c r="E38" s="4" t="n">
        <v>11</v>
      </c>
      <c r="F38" s="4" t="n">
        <v>10.8</v>
      </c>
      <c r="G38" s="4" t="n">
        <v>7.1</v>
      </c>
      <c r="H38" s="4" t="n">
        <v>5.8</v>
      </c>
      <c r="I38" s="4" t="n">
        <v>8.4</v>
      </c>
      <c r="J38" s="4" t="n">
        <v>32.1</v>
      </c>
    </row>
    <row r="39" customFormat="false" ht="15" hidden="false" customHeight="false" outlineLevel="0" collapsed="false">
      <c r="A39" s="4" t="s">
        <v>57</v>
      </c>
      <c r="B39" s="4" t="s">
        <v>20</v>
      </c>
      <c r="C39" s="4" t="s">
        <v>18</v>
      </c>
      <c r="D39" s="14" t="n">
        <v>46097</v>
      </c>
      <c r="E39" s="4" t="n">
        <v>8</v>
      </c>
      <c r="F39" s="4" t="n">
        <v>6.6</v>
      </c>
      <c r="G39" s="4" t="n">
        <v>8.4</v>
      </c>
      <c r="H39" s="4" t="n">
        <v>5.9</v>
      </c>
      <c r="I39" s="4" t="n">
        <v>7.2</v>
      </c>
      <c r="J39" s="4" t="n">
        <v>28.1</v>
      </c>
    </row>
    <row r="40" customFormat="false" ht="15" hidden="false" customHeight="false" outlineLevel="0" collapsed="false">
      <c r="A40" s="4" t="s">
        <v>58</v>
      </c>
      <c r="B40" s="4" t="s">
        <v>17</v>
      </c>
      <c r="C40" s="4" t="s">
        <v>18</v>
      </c>
      <c r="D40" s="14" t="n">
        <v>46029</v>
      </c>
      <c r="E40" s="4" t="n">
        <v>9</v>
      </c>
      <c r="F40" s="4" t="n">
        <v>6.1</v>
      </c>
      <c r="G40" s="4" t="n">
        <v>3.5</v>
      </c>
      <c r="H40" s="4" t="n">
        <v>3.4</v>
      </c>
      <c r="I40" s="4" t="n">
        <v>4.6</v>
      </c>
      <c r="J40" s="4" t="n">
        <v>17.6</v>
      </c>
    </row>
    <row r="41" customFormat="false" ht="15" hidden="false" customHeight="false" outlineLevel="0" collapsed="false">
      <c r="A41" s="4" t="s">
        <v>59</v>
      </c>
      <c r="B41" s="4" t="s">
        <v>17</v>
      </c>
      <c r="C41" s="4" t="s">
        <v>18</v>
      </c>
      <c r="D41" s="14" t="n">
        <v>46037</v>
      </c>
      <c r="E41" s="4" t="n">
        <v>12</v>
      </c>
      <c r="F41" s="4" t="n">
        <v>11.5</v>
      </c>
      <c r="G41" s="4" t="n">
        <v>11.7</v>
      </c>
      <c r="H41" s="4" t="n">
        <v>3.4</v>
      </c>
      <c r="I41" s="4" t="n">
        <v>4.5</v>
      </c>
      <c r="J41" s="4" t="n">
        <v>31.1</v>
      </c>
    </row>
    <row r="42" customFormat="false" ht="15" hidden="false" customHeight="false" outlineLevel="0" collapsed="false">
      <c r="A42" s="4" t="s">
        <v>60</v>
      </c>
      <c r="B42" s="4" t="s">
        <v>17</v>
      </c>
      <c r="C42" s="4" t="s">
        <v>18</v>
      </c>
      <c r="D42" s="14" t="n">
        <v>46117</v>
      </c>
      <c r="E42" s="4" t="n">
        <v>18</v>
      </c>
      <c r="F42" s="4" t="n">
        <v>28.7</v>
      </c>
      <c r="G42" s="4" t="n">
        <v>11.7</v>
      </c>
      <c r="H42" s="4" t="n">
        <v>11.2</v>
      </c>
      <c r="I42" s="4" t="n">
        <v>8.5</v>
      </c>
      <c r="J42" s="4" t="n">
        <v>60.1</v>
      </c>
    </row>
    <row r="43" customFormat="false" ht="15" hidden="false" customHeight="false" outlineLevel="0" collapsed="false">
      <c r="A43" s="4" t="s">
        <v>61</v>
      </c>
      <c r="B43" s="4" t="s">
        <v>20</v>
      </c>
      <c r="C43" s="4" t="s">
        <v>18</v>
      </c>
      <c r="D43" s="14" t="n">
        <v>46072</v>
      </c>
      <c r="E43" s="4" t="n">
        <v>19</v>
      </c>
      <c r="F43" s="4" t="n">
        <v>21.8</v>
      </c>
      <c r="G43" s="4" t="n">
        <v>11.2</v>
      </c>
      <c r="H43" s="4" t="n">
        <v>11.6</v>
      </c>
      <c r="I43" s="4" t="n">
        <v>4.9</v>
      </c>
      <c r="J43" s="4" t="n">
        <v>49.5</v>
      </c>
    </row>
    <row r="44" customFormat="false" ht="15" hidden="false" customHeight="false" outlineLevel="0" collapsed="false">
      <c r="A44" s="4" t="s">
        <v>62</v>
      </c>
      <c r="B44" s="4" t="s">
        <v>17</v>
      </c>
      <c r="C44" s="4" t="s">
        <v>35</v>
      </c>
      <c r="D44" s="14" t="n">
        <v>46090</v>
      </c>
      <c r="E44" s="4" t="n">
        <v>12</v>
      </c>
      <c r="F44" s="4" t="n">
        <v>9.6</v>
      </c>
      <c r="G44" s="4" t="n">
        <v>5.8</v>
      </c>
      <c r="H44" s="4" t="n">
        <v>3.4</v>
      </c>
      <c r="I44" s="4" t="n">
        <v>5.3</v>
      </c>
      <c r="J44" s="4" t="n">
        <v>24.1</v>
      </c>
    </row>
    <row r="45" customFormat="false" ht="15" hidden="false" customHeight="false" outlineLevel="0" collapsed="false">
      <c r="A45" s="4" t="s">
        <v>63</v>
      </c>
      <c r="B45" s="4" t="s">
        <v>20</v>
      </c>
      <c r="C45" s="4" t="s">
        <v>53</v>
      </c>
      <c r="D45" s="14" t="n">
        <v>46116</v>
      </c>
      <c r="E45" s="4" t="n">
        <v>12</v>
      </c>
      <c r="F45" s="4" t="n">
        <v>11</v>
      </c>
      <c r="G45" s="4" t="n">
        <v>4.2</v>
      </c>
      <c r="H45" s="4" t="n">
        <v>10.3</v>
      </c>
      <c r="I45" s="4" t="n">
        <v>4.8</v>
      </c>
      <c r="J45" s="4" t="n">
        <v>30.3</v>
      </c>
    </row>
    <row r="46" customFormat="false" ht="15" hidden="false" customHeight="false" outlineLevel="0" collapsed="false">
      <c r="A46" s="4" t="s">
        <v>64</v>
      </c>
      <c r="B46" s="4" t="s">
        <v>20</v>
      </c>
      <c r="C46" s="4" t="s">
        <v>18</v>
      </c>
      <c r="D46" s="14" t="n">
        <v>46098</v>
      </c>
      <c r="E46" s="4" t="n">
        <v>13</v>
      </c>
      <c r="F46" s="4" t="n">
        <v>7.2</v>
      </c>
      <c r="G46" s="4" t="n">
        <v>11.8</v>
      </c>
      <c r="H46" s="4" t="n">
        <v>8.9</v>
      </c>
      <c r="I46" s="4" t="n">
        <v>8.6</v>
      </c>
      <c r="J46" s="4" t="n">
        <v>36.5</v>
      </c>
    </row>
    <row r="47" customFormat="false" ht="15" hidden="false" customHeight="false" outlineLevel="0" collapsed="false">
      <c r="A47" s="4" t="s">
        <v>65</v>
      </c>
      <c r="B47" s="4" t="s">
        <v>20</v>
      </c>
      <c r="C47" s="4" t="s">
        <v>53</v>
      </c>
      <c r="D47" s="14" t="n">
        <v>46072</v>
      </c>
      <c r="E47" s="4" t="n">
        <v>16</v>
      </c>
      <c r="F47" s="4" t="n">
        <v>20.4</v>
      </c>
      <c r="G47" s="4" t="n">
        <v>8</v>
      </c>
      <c r="H47" s="4" t="n">
        <v>6.8</v>
      </c>
      <c r="I47" s="4" t="n">
        <v>7.5</v>
      </c>
      <c r="J47" s="4" t="n">
        <v>42.7</v>
      </c>
    </row>
    <row r="48" customFormat="false" ht="15" hidden="false" customHeight="false" outlineLevel="0" collapsed="false">
      <c r="A48" s="4" t="s">
        <v>66</v>
      </c>
      <c r="B48" s="4" t="s">
        <v>20</v>
      </c>
      <c r="C48" s="4" t="s">
        <v>53</v>
      </c>
      <c r="D48" s="14" t="n">
        <v>46056</v>
      </c>
      <c r="E48" s="4" t="n">
        <v>13</v>
      </c>
      <c r="F48" s="4" t="n">
        <v>5.5</v>
      </c>
      <c r="G48" s="4" t="n">
        <v>2.4</v>
      </c>
      <c r="H48" s="4" t="n">
        <v>7.8</v>
      </c>
      <c r="I48" s="4" t="n">
        <v>5.6</v>
      </c>
      <c r="J48" s="4" t="n">
        <v>21.3</v>
      </c>
    </row>
    <row r="49" customFormat="false" ht="15" hidden="false" customHeight="false" outlineLevel="0" collapsed="false">
      <c r="A49" s="4" t="s">
        <v>67</v>
      </c>
      <c r="B49" s="4" t="s">
        <v>24</v>
      </c>
      <c r="C49" s="4" t="s">
        <v>18</v>
      </c>
      <c r="D49" s="14" t="n">
        <v>46198</v>
      </c>
      <c r="E49" s="4" t="n">
        <v>11</v>
      </c>
      <c r="F49" s="4" t="n">
        <v>4.6</v>
      </c>
      <c r="G49" s="4" t="n">
        <v>8.6</v>
      </c>
      <c r="H49" s="4" t="n">
        <v>6.6</v>
      </c>
      <c r="I49" s="4" t="n">
        <v>4.2</v>
      </c>
      <c r="J49" s="4" t="n">
        <v>24</v>
      </c>
    </row>
    <row r="50" customFormat="false" ht="15" hidden="false" customHeight="false" outlineLevel="0" collapsed="false">
      <c r="A50" s="4" t="s">
        <v>68</v>
      </c>
      <c r="B50" s="4" t="s">
        <v>24</v>
      </c>
      <c r="C50" s="4" t="s">
        <v>35</v>
      </c>
      <c r="D50" s="14" t="n">
        <v>46103</v>
      </c>
      <c r="E50" s="4" t="n">
        <v>15</v>
      </c>
      <c r="F50" s="4" t="n">
        <v>24.1</v>
      </c>
      <c r="G50" s="4" t="n">
        <v>6</v>
      </c>
      <c r="H50" s="4" t="n">
        <v>6.3</v>
      </c>
      <c r="I50" s="4" t="n">
        <v>2.9</v>
      </c>
      <c r="J50" s="4" t="n">
        <v>39.3</v>
      </c>
    </row>
    <row r="51" customFormat="false" ht="15" hidden="false" customHeight="false" outlineLevel="0" collapsed="false">
      <c r="A51" s="4" t="s">
        <v>69</v>
      </c>
      <c r="B51" s="4" t="s">
        <v>20</v>
      </c>
      <c r="C51" s="4" t="s">
        <v>53</v>
      </c>
      <c r="D51" s="14" t="n">
        <v>46200</v>
      </c>
      <c r="E51" s="4" t="n">
        <v>18</v>
      </c>
      <c r="F51" s="4" t="n">
        <v>26.2</v>
      </c>
      <c r="G51" s="4" t="n">
        <v>5</v>
      </c>
      <c r="H51" s="4" t="n">
        <v>9</v>
      </c>
      <c r="I51" s="4" t="n">
        <v>2</v>
      </c>
      <c r="J51" s="4" t="n">
        <v>42.2</v>
      </c>
    </row>
    <row r="52" customFormat="false" ht="15" hidden="false" customHeight="false" outlineLevel="0" collapsed="false">
      <c r="A52" s="4" t="s">
        <v>70</v>
      </c>
      <c r="B52" s="4" t="s">
        <v>20</v>
      </c>
      <c r="C52" s="4" t="s">
        <v>18</v>
      </c>
      <c r="D52" s="14" t="n">
        <v>46175</v>
      </c>
      <c r="E52" s="4" t="n">
        <v>16</v>
      </c>
      <c r="F52" s="4" t="n">
        <v>24.6</v>
      </c>
      <c r="G52" s="4" t="n">
        <v>6.4</v>
      </c>
      <c r="H52" s="4" t="n">
        <v>5.4</v>
      </c>
      <c r="I52" s="4" t="n">
        <v>5.3</v>
      </c>
      <c r="J52" s="4" t="n">
        <v>41.7</v>
      </c>
    </row>
    <row r="53" customFormat="false" ht="15" hidden="false" customHeight="false" outlineLevel="0" collapsed="false">
      <c r="A53" s="4" t="s">
        <v>71</v>
      </c>
      <c r="B53" s="4" t="s">
        <v>24</v>
      </c>
      <c r="C53" s="4" t="s">
        <v>35</v>
      </c>
      <c r="D53" s="14" t="n">
        <v>46070</v>
      </c>
      <c r="E53" s="4" t="n">
        <v>17</v>
      </c>
      <c r="F53" s="4" t="n">
        <v>25.2</v>
      </c>
      <c r="G53" s="4" t="n">
        <v>8.3</v>
      </c>
      <c r="H53" s="4" t="n">
        <v>6.7</v>
      </c>
      <c r="I53" s="4" t="n">
        <v>7.7</v>
      </c>
      <c r="J53" s="4" t="n">
        <v>47.9</v>
      </c>
    </row>
    <row r="54" customFormat="false" ht="15" hidden="false" customHeight="false" outlineLevel="0" collapsed="false">
      <c r="A54" s="4" t="s">
        <v>72</v>
      </c>
      <c r="B54" s="4" t="s">
        <v>24</v>
      </c>
      <c r="C54" s="4" t="s">
        <v>18</v>
      </c>
      <c r="D54" s="14" t="n">
        <v>46084</v>
      </c>
      <c r="E54" s="4" t="n">
        <v>19</v>
      </c>
      <c r="F54" s="4" t="n">
        <v>20.2</v>
      </c>
      <c r="G54" s="4" t="n">
        <v>4.4</v>
      </c>
      <c r="H54" s="4" t="n">
        <v>8.2</v>
      </c>
      <c r="I54" s="4" t="n">
        <v>7.9</v>
      </c>
      <c r="J54" s="4" t="n">
        <v>40.7</v>
      </c>
    </row>
    <row r="55" customFormat="false" ht="15" hidden="false" customHeight="false" outlineLevel="0" collapsed="false">
      <c r="A55" s="4" t="s">
        <v>73</v>
      </c>
      <c r="B55" s="4" t="s">
        <v>20</v>
      </c>
      <c r="C55" s="4" t="s">
        <v>18</v>
      </c>
      <c r="D55" s="14" t="n">
        <v>46188</v>
      </c>
      <c r="E55" s="4" t="n">
        <v>16</v>
      </c>
      <c r="F55" s="4" t="n">
        <v>27</v>
      </c>
      <c r="G55" s="4" t="n">
        <v>6.9</v>
      </c>
      <c r="H55" s="4" t="n">
        <v>5.7</v>
      </c>
      <c r="I55" s="4" t="n">
        <v>6.6</v>
      </c>
      <c r="J55" s="4" t="n">
        <v>46.2</v>
      </c>
    </row>
    <row r="56" customFormat="false" ht="15" hidden="false" customHeight="false" outlineLevel="0" collapsed="false">
      <c r="A56" s="4" t="s">
        <v>74</v>
      </c>
      <c r="B56" s="4" t="s">
        <v>20</v>
      </c>
      <c r="C56" s="4" t="s">
        <v>35</v>
      </c>
      <c r="D56" s="14" t="n">
        <v>46054</v>
      </c>
      <c r="E56" s="4" t="n">
        <v>18</v>
      </c>
      <c r="F56" s="4" t="n">
        <v>21.8</v>
      </c>
      <c r="G56" s="4" t="n">
        <v>11.6</v>
      </c>
      <c r="H56" s="4" t="n">
        <v>8.7</v>
      </c>
      <c r="I56" s="4" t="n">
        <v>2.4</v>
      </c>
      <c r="J56" s="4" t="n">
        <v>44.5</v>
      </c>
    </row>
    <row r="57" customFormat="false" ht="15" hidden="false" customHeight="false" outlineLevel="0" collapsed="false">
      <c r="A57" s="4" t="s">
        <v>75</v>
      </c>
      <c r="B57" s="4" t="s">
        <v>20</v>
      </c>
      <c r="C57" s="4" t="s">
        <v>35</v>
      </c>
      <c r="D57" s="14" t="n">
        <v>46143</v>
      </c>
      <c r="E57" s="4" t="n">
        <v>10</v>
      </c>
      <c r="F57" s="4" t="n">
        <v>9.3</v>
      </c>
      <c r="G57" s="4" t="n">
        <v>11.9</v>
      </c>
      <c r="H57" s="4" t="n">
        <v>9.5</v>
      </c>
      <c r="I57" s="4" t="n">
        <v>8.7</v>
      </c>
      <c r="J57" s="4" t="n">
        <v>39.4</v>
      </c>
    </row>
    <row r="58" customFormat="false" ht="15" hidden="false" customHeight="false" outlineLevel="0" collapsed="false">
      <c r="A58" s="4" t="s">
        <v>76</v>
      </c>
      <c r="B58" s="4" t="s">
        <v>24</v>
      </c>
      <c r="C58" s="4" t="s">
        <v>18</v>
      </c>
      <c r="D58" s="14" t="n">
        <v>46156</v>
      </c>
      <c r="E58" s="4" t="n">
        <v>14</v>
      </c>
      <c r="F58" s="4" t="n">
        <v>25.5</v>
      </c>
      <c r="G58" s="4" t="n">
        <v>11</v>
      </c>
      <c r="H58" s="4" t="n">
        <v>11.2</v>
      </c>
      <c r="I58" s="4" t="n">
        <v>5.3</v>
      </c>
      <c r="J58" s="4" t="n">
        <v>53</v>
      </c>
    </row>
    <row r="59" customFormat="false" ht="15" hidden="false" customHeight="false" outlineLevel="0" collapsed="false">
      <c r="A59" s="4" t="s">
        <v>77</v>
      </c>
      <c r="B59" s="4" t="s">
        <v>20</v>
      </c>
      <c r="C59" s="4" t="s">
        <v>18</v>
      </c>
      <c r="D59" s="14" t="n">
        <v>46190</v>
      </c>
      <c r="E59" s="4" t="n">
        <v>12</v>
      </c>
      <c r="F59" s="4" t="n">
        <v>8.2</v>
      </c>
      <c r="G59" s="4" t="n">
        <v>8.3</v>
      </c>
      <c r="H59" s="4" t="n">
        <v>6</v>
      </c>
      <c r="I59" s="4" t="n">
        <v>2.5</v>
      </c>
      <c r="J59" s="4" t="n">
        <v>25</v>
      </c>
    </row>
    <row r="60" customFormat="false" ht="15" hidden="false" customHeight="false" outlineLevel="0" collapsed="false">
      <c r="A60" s="4" t="s">
        <v>78</v>
      </c>
      <c r="B60" s="4" t="s">
        <v>20</v>
      </c>
      <c r="C60" s="4" t="s">
        <v>18</v>
      </c>
      <c r="D60" s="14" t="n">
        <v>46108</v>
      </c>
      <c r="E60" s="4" t="n">
        <v>20</v>
      </c>
      <c r="F60" s="4" t="n">
        <v>21.4</v>
      </c>
      <c r="G60" s="4" t="n">
        <v>4.3</v>
      </c>
      <c r="H60" s="4" t="n">
        <v>10.6</v>
      </c>
      <c r="I60" s="4" t="n">
        <v>6.9</v>
      </c>
      <c r="J60" s="4" t="n">
        <v>43.2</v>
      </c>
    </row>
    <row r="61" customFormat="false" ht="15" hidden="false" customHeight="false" outlineLevel="0" collapsed="false">
      <c r="A61" s="4" t="s">
        <v>79</v>
      </c>
      <c r="B61" s="4" t="s">
        <v>20</v>
      </c>
      <c r="C61" s="4" t="s">
        <v>18</v>
      </c>
      <c r="D61" s="14" t="n">
        <v>46165</v>
      </c>
      <c r="E61" s="4" t="n">
        <v>14</v>
      </c>
      <c r="F61" s="4" t="n">
        <v>22.1</v>
      </c>
      <c r="G61" s="4" t="n">
        <v>6.2</v>
      </c>
      <c r="H61" s="4" t="n">
        <v>13</v>
      </c>
      <c r="I61" s="4" t="n">
        <v>6.1</v>
      </c>
      <c r="J61" s="4" t="n">
        <v>47.4</v>
      </c>
    </row>
    <row r="62" customFormat="false" ht="15" hidden="false" customHeight="false" outlineLevel="0" collapsed="false">
      <c r="A62" s="4" t="s">
        <v>80</v>
      </c>
      <c r="B62" s="4" t="s">
        <v>17</v>
      </c>
      <c r="C62" s="4" t="s">
        <v>35</v>
      </c>
      <c r="D62" s="14" t="n">
        <v>46174</v>
      </c>
      <c r="E62" s="4" t="n">
        <v>13</v>
      </c>
      <c r="F62" s="4" t="n">
        <v>11.5</v>
      </c>
      <c r="G62" s="4" t="n">
        <v>5</v>
      </c>
      <c r="H62" s="4" t="n">
        <v>7.3</v>
      </c>
      <c r="I62" s="4" t="n">
        <v>8.2</v>
      </c>
      <c r="J62" s="4" t="n">
        <v>32</v>
      </c>
    </row>
    <row r="63" customFormat="false" ht="15" hidden="false" customHeight="false" outlineLevel="0" collapsed="false">
      <c r="A63" s="4" t="s">
        <v>81</v>
      </c>
      <c r="B63" s="4" t="s">
        <v>24</v>
      </c>
      <c r="C63" s="4" t="s">
        <v>18</v>
      </c>
      <c r="D63" s="14" t="n">
        <v>46166</v>
      </c>
      <c r="E63" s="4" t="n">
        <v>19</v>
      </c>
      <c r="F63" s="4" t="n">
        <v>22.2</v>
      </c>
      <c r="G63" s="4" t="n">
        <v>4.2</v>
      </c>
      <c r="H63" s="4" t="n">
        <v>7.8</v>
      </c>
      <c r="I63" s="4" t="n">
        <v>2.2</v>
      </c>
      <c r="J63" s="4" t="n">
        <v>36.4</v>
      </c>
    </row>
    <row r="64" customFormat="false" ht="15" hidden="false" customHeight="false" outlineLevel="0" collapsed="false">
      <c r="A64" s="4" t="s">
        <v>82</v>
      </c>
      <c r="B64" s="4" t="s">
        <v>20</v>
      </c>
      <c r="C64" s="4" t="s">
        <v>18</v>
      </c>
      <c r="D64" s="14" t="n">
        <v>46130</v>
      </c>
      <c r="E64" s="4" t="n">
        <v>18</v>
      </c>
      <c r="F64" s="4" t="n">
        <v>24.7</v>
      </c>
      <c r="G64" s="4" t="n">
        <v>3.3</v>
      </c>
      <c r="H64" s="4" t="n">
        <v>9.8</v>
      </c>
      <c r="I64" s="4" t="n">
        <v>2.2</v>
      </c>
      <c r="J64" s="4" t="n">
        <v>40</v>
      </c>
    </row>
    <row r="65" customFormat="false" ht="15" hidden="false" customHeight="false" outlineLevel="0" collapsed="false">
      <c r="A65" s="4" t="s">
        <v>83</v>
      </c>
      <c r="B65" s="4" t="s">
        <v>20</v>
      </c>
      <c r="C65" s="4" t="s">
        <v>18</v>
      </c>
      <c r="D65" s="14" t="n">
        <v>46033</v>
      </c>
      <c r="E65" s="4" t="n">
        <v>9</v>
      </c>
      <c r="F65" s="4" t="n">
        <v>2.8</v>
      </c>
      <c r="G65" s="4" t="n">
        <v>6.6</v>
      </c>
      <c r="H65" s="4" t="n">
        <v>3.6</v>
      </c>
      <c r="I65" s="4" t="n">
        <v>4.7</v>
      </c>
      <c r="J65" s="4" t="n">
        <v>17.7</v>
      </c>
    </row>
    <row r="66" customFormat="false" ht="15" hidden="false" customHeight="false" outlineLevel="0" collapsed="false">
      <c r="A66" s="4" t="s">
        <v>84</v>
      </c>
      <c r="B66" s="4" t="s">
        <v>20</v>
      </c>
      <c r="C66" s="4" t="s">
        <v>18</v>
      </c>
      <c r="D66" s="14" t="n">
        <v>46124</v>
      </c>
      <c r="E66" s="4" t="n">
        <v>12</v>
      </c>
      <c r="F66" s="4" t="n">
        <v>7.4</v>
      </c>
      <c r="G66" s="4" t="n">
        <v>10.3</v>
      </c>
      <c r="H66" s="4" t="n">
        <v>8.2</v>
      </c>
      <c r="I66" s="4" t="n">
        <v>7.2</v>
      </c>
      <c r="J66" s="4" t="n">
        <v>33.1</v>
      </c>
    </row>
    <row r="67" customFormat="false" ht="15" hidden="false" customHeight="false" outlineLevel="0" collapsed="false">
      <c r="A67" s="4" t="s">
        <v>85</v>
      </c>
      <c r="B67" s="4" t="s">
        <v>20</v>
      </c>
      <c r="C67" s="4" t="s">
        <v>53</v>
      </c>
      <c r="D67" s="14" t="n">
        <v>46084</v>
      </c>
      <c r="E67" s="4" t="n">
        <v>17</v>
      </c>
      <c r="F67" s="4" t="n">
        <v>29.6</v>
      </c>
      <c r="G67" s="4" t="n">
        <v>2.4</v>
      </c>
      <c r="H67" s="4" t="n">
        <v>3.3</v>
      </c>
      <c r="I67" s="4" t="n">
        <v>3.7</v>
      </c>
      <c r="J67" s="4" t="n">
        <v>39</v>
      </c>
    </row>
    <row r="68" customFormat="false" ht="15" hidden="false" customHeight="false" outlineLevel="0" collapsed="false">
      <c r="A68" s="4" t="s">
        <v>86</v>
      </c>
      <c r="B68" s="4" t="s">
        <v>24</v>
      </c>
      <c r="C68" s="4" t="s">
        <v>18</v>
      </c>
      <c r="D68" s="14" t="n">
        <v>46088</v>
      </c>
      <c r="E68" s="4" t="n">
        <v>10</v>
      </c>
      <c r="F68" s="4" t="n">
        <v>4.9</v>
      </c>
      <c r="G68" s="4" t="n">
        <v>11.5</v>
      </c>
      <c r="H68" s="4" t="n">
        <v>8.1</v>
      </c>
      <c r="I68" s="4" t="n">
        <v>3.8</v>
      </c>
      <c r="J68" s="4" t="n">
        <v>28.3</v>
      </c>
    </row>
    <row r="69" customFormat="false" ht="15" hidden="false" customHeight="false" outlineLevel="0" collapsed="false">
      <c r="A69" s="4" t="s">
        <v>87</v>
      </c>
      <c r="B69" s="4" t="s">
        <v>20</v>
      </c>
      <c r="C69" s="4" t="s">
        <v>18</v>
      </c>
      <c r="D69" s="14" t="n">
        <v>46056</v>
      </c>
      <c r="E69" s="4" t="n">
        <v>18</v>
      </c>
      <c r="F69" s="4" t="n">
        <v>29.6</v>
      </c>
      <c r="G69" s="4" t="n">
        <v>3.1</v>
      </c>
      <c r="H69" s="4" t="n">
        <v>3.3</v>
      </c>
      <c r="I69" s="4" t="n">
        <v>4.2</v>
      </c>
      <c r="J69" s="4" t="n">
        <v>40.2</v>
      </c>
    </row>
    <row r="70" customFormat="false" ht="15" hidden="false" customHeight="false" outlineLevel="0" collapsed="false">
      <c r="A70" s="4" t="s">
        <v>88</v>
      </c>
      <c r="B70" s="4" t="s">
        <v>17</v>
      </c>
      <c r="C70" s="4" t="s">
        <v>53</v>
      </c>
      <c r="D70" s="14" t="n">
        <v>46128</v>
      </c>
      <c r="E70" s="4" t="n">
        <v>20</v>
      </c>
      <c r="F70" s="4" t="n">
        <v>20.8</v>
      </c>
      <c r="G70" s="4" t="n">
        <v>8.9</v>
      </c>
      <c r="H70" s="4" t="n">
        <v>9.9</v>
      </c>
      <c r="I70" s="4" t="n">
        <v>2.7</v>
      </c>
      <c r="J70" s="4" t="n">
        <v>42.3</v>
      </c>
    </row>
    <row r="71" customFormat="false" ht="15" hidden="false" customHeight="false" outlineLevel="0" collapsed="false">
      <c r="A71" s="4" t="s">
        <v>89</v>
      </c>
      <c r="B71" s="4" t="s">
        <v>24</v>
      </c>
      <c r="C71" s="4" t="s">
        <v>35</v>
      </c>
      <c r="D71" s="14" t="n">
        <v>46180</v>
      </c>
      <c r="E71" s="4" t="n">
        <v>19</v>
      </c>
      <c r="F71" s="4" t="n">
        <v>29.8</v>
      </c>
      <c r="G71" s="4" t="n">
        <v>9.8</v>
      </c>
      <c r="H71" s="4" t="n">
        <v>6.8</v>
      </c>
      <c r="I71" s="4" t="n">
        <v>5</v>
      </c>
      <c r="J71" s="4" t="n">
        <v>51.4</v>
      </c>
    </row>
    <row r="72" customFormat="false" ht="15" hidden="false" customHeight="false" outlineLevel="0" collapsed="false">
      <c r="A72" s="4" t="s">
        <v>90</v>
      </c>
      <c r="B72" s="4" t="s">
        <v>20</v>
      </c>
      <c r="C72" s="4" t="s">
        <v>18</v>
      </c>
      <c r="D72" s="14" t="n">
        <v>46114</v>
      </c>
      <c r="E72" s="4" t="n">
        <v>7</v>
      </c>
      <c r="F72" s="4" t="n">
        <v>6.9</v>
      </c>
      <c r="G72" s="4" t="n">
        <v>3.1</v>
      </c>
      <c r="H72" s="4" t="n">
        <v>13.6</v>
      </c>
      <c r="I72" s="4" t="n">
        <v>6.4</v>
      </c>
      <c r="J72" s="4" t="n">
        <v>30</v>
      </c>
    </row>
    <row r="73" customFormat="false" ht="15" hidden="false" customHeight="false" outlineLevel="0" collapsed="false">
      <c r="A73" s="4" t="s">
        <v>91</v>
      </c>
      <c r="B73" s="4" t="s">
        <v>24</v>
      </c>
      <c r="C73" s="4" t="s">
        <v>35</v>
      </c>
      <c r="D73" s="14" t="n">
        <v>46138</v>
      </c>
      <c r="E73" s="4" t="n">
        <v>11</v>
      </c>
      <c r="F73" s="4" t="n">
        <v>11.7</v>
      </c>
      <c r="G73" s="4" t="n">
        <v>4.7</v>
      </c>
      <c r="H73" s="4" t="n">
        <v>11.9</v>
      </c>
      <c r="I73" s="4" t="n">
        <v>5.8</v>
      </c>
      <c r="J73" s="4" t="n">
        <v>34.1</v>
      </c>
    </row>
    <row r="74" customFormat="false" ht="15" hidden="false" customHeight="false" outlineLevel="0" collapsed="false">
      <c r="A74" s="4" t="s">
        <v>92</v>
      </c>
      <c r="B74" s="4" t="s">
        <v>17</v>
      </c>
      <c r="C74" s="4" t="s">
        <v>18</v>
      </c>
      <c r="D74" s="14" t="n">
        <v>46178</v>
      </c>
      <c r="E74" s="4" t="n">
        <v>12</v>
      </c>
      <c r="F74" s="4" t="n">
        <v>6</v>
      </c>
      <c r="G74" s="4" t="n">
        <v>11.3</v>
      </c>
      <c r="H74" s="4" t="n">
        <v>6.1</v>
      </c>
      <c r="I74" s="4" t="n">
        <v>5.2</v>
      </c>
      <c r="J74" s="4" t="n">
        <v>28.6</v>
      </c>
    </row>
    <row r="75" customFormat="false" ht="15" hidden="false" customHeight="false" outlineLevel="0" collapsed="false">
      <c r="A75" s="4" t="s">
        <v>93</v>
      </c>
      <c r="B75" s="4" t="s">
        <v>24</v>
      </c>
      <c r="C75" s="4" t="s">
        <v>18</v>
      </c>
      <c r="D75" s="14" t="n">
        <v>46198</v>
      </c>
      <c r="E75" s="4" t="n">
        <v>13</v>
      </c>
      <c r="F75" s="4" t="n">
        <v>8</v>
      </c>
      <c r="G75" s="4" t="n">
        <v>5.3</v>
      </c>
      <c r="H75" s="4" t="n">
        <v>8.4</v>
      </c>
      <c r="I75" s="4" t="n">
        <v>4.5</v>
      </c>
      <c r="J75" s="4" t="n">
        <v>26.2</v>
      </c>
    </row>
    <row r="76" customFormat="false" ht="15" hidden="false" customHeight="false" outlineLevel="0" collapsed="false">
      <c r="A76" s="4" t="s">
        <v>94</v>
      </c>
      <c r="B76" s="4" t="s">
        <v>20</v>
      </c>
      <c r="C76" s="4" t="s">
        <v>18</v>
      </c>
      <c r="D76" s="14" t="n">
        <v>46179</v>
      </c>
      <c r="E76" s="4" t="n">
        <v>17</v>
      </c>
      <c r="F76" s="4" t="n">
        <v>25.6</v>
      </c>
      <c r="G76" s="4" t="n">
        <v>7.2</v>
      </c>
      <c r="H76" s="4" t="n">
        <v>5.1</v>
      </c>
      <c r="I76" s="4" t="n">
        <v>3.7</v>
      </c>
      <c r="J76" s="4" t="n">
        <v>41.6</v>
      </c>
    </row>
    <row r="77" customFormat="false" ht="15" hidden="false" customHeight="false" outlineLevel="0" collapsed="false">
      <c r="A77" s="4" t="s">
        <v>95</v>
      </c>
      <c r="B77" s="4" t="s">
        <v>20</v>
      </c>
      <c r="C77" s="4" t="s">
        <v>18</v>
      </c>
      <c r="D77" s="14" t="n">
        <v>46088</v>
      </c>
      <c r="E77" s="4" t="n">
        <v>17</v>
      </c>
      <c r="F77" s="4" t="n">
        <v>27.1</v>
      </c>
      <c r="G77" s="4" t="n">
        <v>6.5</v>
      </c>
      <c r="H77" s="4" t="n">
        <v>3.2</v>
      </c>
      <c r="I77" s="4" t="n">
        <v>4.1</v>
      </c>
      <c r="J77" s="4" t="n">
        <v>40.9</v>
      </c>
    </row>
    <row r="78" customFormat="false" ht="15" hidden="false" customHeight="false" outlineLevel="0" collapsed="false">
      <c r="A78" s="4" t="s">
        <v>96</v>
      </c>
      <c r="B78" s="4" t="s">
        <v>20</v>
      </c>
      <c r="C78" s="4" t="s">
        <v>18</v>
      </c>
      <c r="D78" s="14" t="n">
        <v>46196</v>
      </c>
      <c r="E78" s="4" t="n">
        <v>16</v>
      </c>
      <c r="F78" s="4" t="n">
        <v>25.5</v>
      </c>
      <c r="G78" s="4" t="n">
        <v>5.4</v>
      </c>
      <c r="H78" s="4" t="n">
        <v>14</v>
      </c>
      <c r="I78" s="4" t="n">
        <v>5.9</v>
      </c>
      <c r="J78" s="4" t="n">
        <v>50.8</v>
      </c>
    </row>
    <row r="79" customFormat="false" ht="15" hidden="false" customHeight="false" outlineLevel="0" collapsed="false">
      <c r="A79" s="4" t="s">
        <v>97</v>
      </c>
      <c r="B79" s="4" t="s">
        <v>20</v>
      </c>
      <c r="C79" s="4" t="s">
        <v>18</v>
      </c>
      <c r="D79" s="14" t="n">
        <v>46105</v>
      </c>
      <c r="E79" s="4" t="n">
        <v>12</v>
      </c>
      <c r="F79" s="4" t="n">
        <v>9.8</v>
      </c>
      <c r="G79" s="4" t="n">
        <v>5.2</v>
      </c>
      <c r="H79" s="4" t="n">
        <v>11.2</v>
      </c>
      <c r="I79" s="4" t="n">
        <v>8.7</v>
      </c>
      <c r="J79" s="4" t="n">
        <v>34.9</v>
      </c>
    </row>
    <row r="80" customFormat="false" ht="15" hidden="false" customHeight="false" outlineLevel="0" collapsed="false">
      <c r="A80" s="4" t="s">
        <v>98</v>
      </c>
      <c r="B80" s="4" t="s">
        <v>17</v>
      </c>
      <c r="C80" s="4" t="s">
        <v>18</v>
      </c>
      <c r="D80" s="14" t="n">
        <v>46150</v>
      </c>
      <c r="E80" s="4" t="n">
        <v>12</v>
      </c>
      <c r="F80" s="4" t="n">
        <v>11.8</v>
      </c>
      <c r="G80" s="4" t="n">
        <v>7.2</v>
      </c>
      <c r="H80" s="4" t="n">
        <v>6.1</v>
      </c>
      <c r="I80" s="4" t="n">
        <v>2.7</v>
      </c>
      <c r="J80" s="4" t="n">
        <v>27.8</v>
      </c>
    </row>
    <row r="81" customFormat="false" ht="15" hidden="false" customHeight="false" outlineLevel="0" collapsed="false">
      <c r="A81" s="4" t="s">
        <v>99</v>
      </c>
      <c r="B81" s="4" t="s">
        <v>20</v>
      </c>
      <c r="C81" s="4" t="s">
        <v>18</v>
      </c>
      <c r="D81" s="14" t="n">
        <v>46072</v>
      </c>
      <c r="E81" s="4" t="n">
        <v>12</v>
      </c>
      <c r="F81" s="4" t="n">
        <v>8.3</v>
      </c>
      <c r="G81" s="4" t="n">
        <v>4.7</v>
      </c>
      <c r="H81" s="4" t="n">
        <v>13.7</v>
      </c>
      <c r="I81" s="4" t="n">
        <v>5.9</v>
      </c>
      <c r="J81" s="4" t="n">
        <v>32.6</v>
      </c>
    </row>
    <row r="82" customFormat="false" ht="15" hidden="false" customHeight="false" outlineLevel="0" collapsed="false">
      <c r="A82" s="4" t="s">
        <v>100</v>
      </c>
      <c r="B82" s="4" t="s">
        <v>17</v>
      </c>
      <c r="C82" s="4" t="s">
        <v>18</v>
      </c>
      <c r="D82" s="14" t="n">
        <v>46152</v>
      </c>
      <c r="E82" s="4" t="n">
        <v>9</v>
      </c>
      <c r="F82" s="4" t="n">
        <v>5.4</v>
      </c>
      <c r="G82" s="4" t="n">
        <v>6.7</v>
      </c>
      <c r="H82" s="4" t="n">
        <v>7.8</v>
      </c>
      <c r="I82" s="4" t="n">
        <v>3.3</v>
      </c>
      <c r="J82" s="4" t="n">
        <v>23.2</v>
      </c>
    </row>
    <row r="83" customFormat="false" ht="15" hidden="false" customHeight="false" outlineLevel="0" collapsed="false">
      <c r="A83" s="4" t="s">
        <v>101</v>
      </c>
      <c r="B83" s="4" t="s">
        <v>20</v>
      </c>
      <c r="C83" s="4" t="s">
        <v>53</v>
      </c>
      <c r="D83" s="14" t="n">
        <v>46149</v>
      </c>
      <c r="E83" s="4" t="n">
        <v>10</v>
      </c>
      <c r="F83" s="4" t="n">
        <v>7.2</v>
      </c>
      <c r="G83" s="4" t="n">
        <v>2.7</v>
      </c>
      <c r="H83" s="4" t="n">
        <v>9.9</v>
      </c>
      <c r="I83" s="4" t="n">
        <v>2.4</v>
      </c>
      <c r="J83" s="4" t="n">
        <v>22.2</v>
      </c>
    </row>
    <row r="84" customFormat="false" ht="15" hidden="false" customHeight="false" outlineLevel="0" collapsed="false">
      <c r="A84" s="4" t="s">
        <v>102</v>
      </c>
      <c r="B84" s="4" t="s">
        <v>20</v>
      </c>
      <c r="C84" s="4" t="s">
        <v>18</v>
      </c>
      <c r="D84" s="14" t="n">
        <v>46104</v>
      </c>
      <c r="E84" s="4" t="n">
        <v>9</v>
      </c>
      <c r="F84" s="4" t="n">
        <v>2.7</v>
      </c>
      <c r="G84" s="4" t="n">
        <v>9.6</v>
      </c>
      <c r="H84" s="4" t="n">
        <v>9.7</v>
      </c>
      <c r="I84" s="4" t="n">
        <v>7.5</v>
      </c>
      <c r="J84" s="4" t="n">
        <v>29.5</v>
      </c>
    </row>
    <row r="85" customFormat="false" ht="15" hidden="false" customHeight="false" outlineLevel="0" collapsed="false">
      <c r="A85" s="4" t="s">
        <v>103</v>
      </c>
      <c r="B85" s="4" t="s">
        <v>20</v>
      </c>
      <c r="C85" s="4" t="s">
        <v>18</v>
      </c>
      <c r="D85" s="14" t="n">
        <v>46142</v>
      </c>
      <c r="E85" s="4" t="n">
        <v>20</v>
      </c>
      <c r="F85" s="4" t="n">
        <v>28.6</v>
      </c>
      <c r="G85" s="4" t="n">
        <v>11.9</v>
      </c>
      <c r="H85" s="4" t="n">
        <v>6.4</v>
      </c>
      <c r="I85" s="4" t="n">
        <v>6.3</v>
      </c>
      <c r="J85" s="4" t="n">
        <v>53.2</v>
      </c>
    </row>
    <row r="86" customFormat="false" ht="15" hidden="false" customHeight="false" outlineLevel="0" collapsed="false">
      <c r="A86" s="4" t="s">
        <v>104</v>
      </c>
      <c r="B86" s="4" t="s">
        <v>17</v>
      </c>
      <c r="C86" s="4" t="s">
        <v>35</v>
      </c>
      <c r="D86" s="14" t="n">
        <v>46080</v>
      </c>
      <c r="E86" s="4" t="n">
        <v>16</v>
      </c>
      <c r="F86" s="4" t="n">
        <v>26.6</v>
      </c>
      <c r="G86" s="4" t="n">
        <v>3.6</v>
      </c>
      <c r="H86" s="4" t="n">
        <v>4.9</v>
      </c>
      <c r="I86" s="4" t="n">
        <v>2.5</v>
      </c>
      <c r="J86" s="4" t="n">
        <v>37.6</v>
      </c>
    </row>
    <row r="87" customFormat="false" ht="15" hidden="false" customHeight="false" outlineLevel="0" collapsed="false">
      <c r="A87" s="4" t="s">
        <v>105</v>
      </c>
      <c r="B87" s="4" t="s">
        <v>20</v>
      </c>
      <c r="C87" s="4" t="s">
        <v>18</v>
      </c>
      <c r="D87" s="14" t="n">
        <v>46179</v>
      </c>
      <c r="E87" s="4" t="n">
        <v>14</v>
      </c>
      <c r="F87" s="4" t="n">
        <v>22.3</v>
      </c>
      <c r="G87" s="4" t="n">
        <v>9.1</v>
      </c>
      <c r="H87" s="4" t="n">
        <v>10.7</v>
      </c>
      <c r="I87" s="4" t="n">
        <v>5.2</v>
      </c>
      <c r="J87" s="4" t="n">
        <v>47.3</v>
      </c>
    </row>
    <row r="88" customFormat="false" ht="15" hidden="false" customHeight="false" outlineLevel="0" collapsed="false">
      <c r="A88" s="4" t="s">
        <v>106</v>
      </c>
      <c r="B88" s="4" t="s">
        <v>17</v>
      </c>
      <c r="C88" s="4" t="s">
        <v>53</v>
      </c>
      <c r="D88" s="14" t="n">
        <v>46187</v>
      </c>
      <c r="E88" s="4" t="n">
        <v>16</v>
      </c>
      <c r="F88" s="4" t="n">
        <v>29.3</v>
      </c>
      <c r="G88" s="4" t="n">
        <v>6.3</v>
      </c>
      <c r="H88" s="4" t="n">
        <v>9</v>
      </c>
      <c r="I88" s="4" t="n">
        <v>6.5</v>
      </c>
      <c r="J88" s="4" t="n">
        <v>51.1</v>
      </c>
    </row>
    <row r="89" customFormat="false" ht="15" hidden="false" customHeight="false" outlineLevel="0" collapsed="false">
      <c r="A89" s="4" t="s">
        <v>107</v>
      </c>
      <c r="B89" s="4" t="s">
        <v>24</v>
      </c>
      <c r="C89" s="4" t="s">
        <v>35</v>
      </c>
      <c r="D89" s="14" t="n">
        <v>46045</v>
      </c>
      <c r="E89" s="4" t="n">
        <v>8</v>
      </c>
      <c r="F89" s="4" t="n">
        <v>3.8</v>
      </c>
      <c r="G89" s="4" t="n">
        <v>9.5</v>
      </c>
      <c r="H89" s="4" t="n">
        <v>9.3</v>
      </c>
      <c r="I89" s="4" t="n">
        <v>4</v>
      </c>
      <c r="J89" s="4" t="n">
        <v>26.6</v>
      </c>
    </row>
    <row r="90" customFormat="false" ht="15" hidden="false" customHeight="false" outlineLevel="0" collapsed="false">
      <c r="A90" s="4" t="s">
        <v>108</v>
      </c>
      <c r="B90" s="4" t="s">
        <v>20</v>
      </c>
      <c r="C90" s="4" t="s">
        <v>18</v>
      </c>
      <c r="D90" s="14" t="n">
        <v>46206</v>
      </c>
      <c r="E90" s="4" t="n">
        <v>14</v>
      </c>
      <c r="F90" s="4" t="n">
        <v>25</v>
      </c>
      <c r="G90" s="4" t="n">
        <v>6.9</v>
      </c>
      <c r="H90" s="4" t="n">
        <v>3.9</v>
      </c>
      <c r="I90" s="4" t="n">
        <v>2.3</v>
      </c>
      <c r="J90" s="4" t="n">
        <v>38.1</v>
      </c>
    </row>
    <row r="91" customFormat="false" ht="15" hidden="false" customHeight="false" outlineLevel="0" collapsed="false">
      <c r="A91" s="4" t="s">
        <v>109</v>
      </c>
      <c r="B91" s="4" t="s">
        <v>20</v>
      </c>
      <c r="C91" s="4" t="s">
        <v>18</v>
      </c>
      <c r="D91" s="14" t="n">
        <v>46091</v>
      </c>
      <c r="E91" s="4" t="n">
        <v>7</v>
      </c>
      <c r="F91" s="4" t="n">
        <v>7.8</v>
      </c>
      <c r="G91" s="4" t="n">
        <v>10.4</v>
      </c>
      <c r="H91" s="4" t="n">
        <v>9.3</v>
      </c>
      <c r="I91" s="4" t="n">
        <v>8.7</v>
      </c>
      <c r="J91" s="4" t="n">
        <v>36.2</v>
      </c>
    </row>
    <row r="92" customFormat="false" ht="15" hidden="false" customHeight="false" outlineLevel="0" collapsed="false">
      <c r="A92" s="4" t="s">
        <v>110</v>
      </c>
      <c r="B92" s="4" t="s">
        <v>24</v>
      </c>
      <c r="C92" s="4" t="s">
        <v>18</v>
      </c>
      <c r="D92" s="14" t="n">
        <v>46095</v>
      </c>
      <c r="E92" s="4" t="n">
        <v>16</v>
      </c>
      <c r="F92" s="4" t="n">
        <v>27.6</v>
      </c>
      <c r="G92" s="4" t="n">
        <v>6.7</v>
      </c>
      <c r="H92" s="4" t="n">
        <v>10.2</v>
      </c>
      <c r="I92" s="4" t="n">
        <v>8.4</v>
      </c>
      <c r="J92" s="4" t="n">
        <v>52.9</v>
      </c>
    </row>
    <row r="93" customFormat="false" ht="15" hidden="false" customHeight="false" outlineLevel="0" collapsed="false">
      <c r="A93" s="4" t="s">
        <v>111</v>
      </c>
      <c r="B93" s="4" t="s">
        <v>20</v>
      </c>
      <c r="C93" s="4" t="s">
        <v>18</v>
      </c>
      <c r="D93" s="14" t="n">
        <v>46189</v>
      </c>
      <c r="E93" s="4" t="n">
        <v>19</v>
      </c>
      <c r="F93" s="4" t="n">
        <v>24.7</v>
      </c>
      <c r="G93" s="4" t="n">
        <v>6.1</v>
      </c>
      <c r="H93" s="4" t="n">
        <v>6.5</v>
      </c>
      <c r="I93" s="4" t="n">
        <v>2.7</v>
      </c>
      <c r="J93" s="4" t="n">
        <v>40</v>
      </c>
    </row>
    <row r="94" customFormat="false" ht="15" hidden="false" customHeight="false" outlineLevel="0" collapsed="false">
      <c r="A94" s="4" t="s">
        <v>112</v>
      </c>
      <c r="B94" s="4" t="s">
        <v>20</v>
      </c>
      <c r="C94" s="4" t="s">
        <v>18</v>
      </c>
      <c r="D94" s="14" t="n">
        <v>46153</v>
      </c>
      <c r="E94" s="4" t="n">
        <v>12</v>
      </c>
      <c r="F94" s="4" t="n">
        <v>10.5</v>
      </c>
      <c r="G94" s="4" t="n">
        <v>7.5</v>
      </c>
      <c r="H94" s="4" t="n">
        <v>8</v>
      </c>
      <c r="I94" s="4" t="n">
        <v>4.2</v>
      </c>
      <c r="J94" s="4" t="n">
        <v>30.2</v>
      </c>
    </row>
    <row r="95" customFormat="false" ht="15" hidden="false" customHeight="false" outlineLevel="0" collapsed="false">
      <c r="A95" s="4" t="s">
        <v>113</v>
      </c>
      <c r="B95" s="4" t="s">
        <v>20</v>
      </c>
      <c r="C95" s="4" t="s">
        <v>53</v>
      </c>
      <c r="D95" s="14" t="n">
        <v>46130</v>
      </c>
      <c r="E95" s="4" t="n">
        <v>19</v>
      </c>
      <c r="F95" s="4" t="n">
        <v>29.9</v>
      </c>
      <c r="G95" s="4" t="n">
        <v>8.6</v>
      </c>
      <c r="H95" s="4" t="n">
        <v>9</v>
      </c>
      <c r="I95" s="4" t="n">
        <v>4.9</v>
      </c>
      <c r="J95" s="4" t="n">
        <v>52.4</v>
      </c>
    </row>
    <row r="96" customFormat="false" ht="15" hidden="false" customHeight="false" outlineLevel="0" collapsed="false">
      <c r="A96" s="4" t="s">
        <v>114</v>
      </c>
      <c r="B96" s="4" t="s">
        <v>20</v>
      </c>
      <c r="C96" s="4" t="s">
        <v>18</v>
      </c>
      <c r="D96" s="14" t="n">
        <v>46154</v>
      </c>
      <c r="E96" s="4" t="n">
        <v>16</v>
      </c>
      <c r="F96" s="4" t="n">
        <v>20.5</v>
      </c>
      <c r="G96" s="4" t="n">
        <v>4.7</v>
      </c>
      <c r="H96" s="4" t="n">
        <v>4.4</v>
      </c>
      <c r="I96" s="4" t="n">
        <v>4</v>
      </c>
      <c r="J96" s="4" t="n">
        <v>33.6</v>
      </c>
    </row>
    <row r="97" customFormat="false" ht="15" hidden="false" customHeight="false" outlineLevel="0" collapsed="false">
      <c r="A97" s="4" t="s">
        <v>115</v>
      </c>
      <c r="B97" s="4" t="s">
        <v>24</v>
      </c>
      <c r="C97" s="4" t="s">
        <v>18</v>
      </c>
      <c r="D97" s="14" t="n">
        <v>46034</v>
      </c>
      <c r="E97" s="4" t="n">
        <v>21</v>
      </c>
      <c r="F97" s="4" t="n">
        <v>28</v>
      </c>
      <c r="G97" s="4" t="n">
        <v>9.1</v>
      </c>
      <c r="H97" s="4" t="n">
        <v>6.4</v>
      </c>
      <c r="I97" s="4" t="n">
        <v>2.1</v>
      </c>
      <c r="J97" s="4" t="n">
        <v>45.6</v>
      </c>
    </row>
    <row r="98" customFormat="false" ht="15" hidden="false" customHeight="false" outlineLevel="0" collapsed="false">
      <c r="A98" s="4" t="s">
        <v>116</v>
      </c>
      <c r="B98" s="4" t="s">
        <v>20</v>
      </c>
      <c r="C98" s="4" t="s">
        <v>18</v>
      </c>
      <c r="D98" s="14" t="n">
        <v>46056</v>
      </c>
      <c r="E98" s="4" t="n">
        <v>14</v>
      </c>
      <c r="F98" s="4" t="n">
        <v>26.5</v>
      </c>
      <c r="G98" s="4" t="n">
        <v>3.5</v>
      </c>
      <c r="H98" s="4" t="n">
        <v>13.3</v>
      </c>
      <c r="I98" s="4" t="n">
        <v>4</v>
      </c>
      <c r="J98" s="4" t="n">
        <v>47.3</v>
      </c>
    </row>
    <row r="99" customFormat="false" ht="15" hidden="false" customHeight="false" outlineLevel="0" collapsed="false">
      <c r="A99" s="4" t="s">
        <v>117</v>
      </c>
      <c r="B99" s="4" t="s">
        <v>17</v>
      </c>
      <c r="C99" s="4" t="s">
        <v>18</v>
      </c>
      <c r="D99" s="14" t="n">
        <v>46150</v>
      </c>
      <c r="E99" s="4" t="n">
        <v>21</v>
      </c>
      <c r="F99" s="4" t="n">
        <v>24.6</v>
      </c>
      <c r="G99" s="4" t="n">
        <v>3.4</v>
      </c>
      <c r="H99" s="4" t="n">
        <v>5.1</v>
      </c>
      <c r="I99" s="4" t="n">
        <v>6.2</v>
      </c>
      <c r="J99" s="4" t="n">
        <v>39.3</v>
      </c>
    </row>
    <row r="100" customFormat="false" ht="15" hidden="false" customHeight="false" outlineLevel="0" collapsed="false">
      <c r="A100" s="4" t="s">
        <v>118</v>
      </c>
      <c r="B100" s="4" t="s">
        <v>17</v>
      </c>
      <c r="C100" s="4" t="s">
        <v>18</v>
      </c>
      <c r="D100" s="14" t="n">
        <v>46044</v>
      </c>
      <c r="E100" s="4" t="n">
        <v>12</v>
      </c>
      <c r="F100" s="4" t="n">
        <v>10.8</v>
      </c>
      <c r="G100" s="4" t="n">
        <v>5.4</v>
      </c>
      <c r="H100" s="4" t="n">
        <v>11.7</v>
      </c>
      <c r="I100" s="4" t="n">
        <v>3.9</v>
      </c>
      <c r="J100" s="4" t="n">
        <v>31.8</v>
      </c>
    </row>
    <row r="101" customFormat="false" ht="15" hidden="false" customHeight="false" outlineLevel="0" collapsed="false">
      <c r="A101" s="4" t="s">
        <v>119</v>
      </c>
      <c r="B101" s="4" t="s">
        <v>20</v>
      </c>
      <c r="C101" s="4" t="s">
        <v>35</v>
      </c>
      <c r="D101" s="14" t="n">
        <v>46177</v>
      </c>
      <c r="E101" s="4" t="n">
        <v>16</v>
      </c>
      <c r="F101" s="4" t="n">
        <v>24.9</v>
      </c>
      <c r="G101" s="4" t="n">
        <v>3.5</v>
      </c>
      <c r="H101" s="4" t="n">
        <v>8.9</v>
      </c>
      <c r="I101" s="4" t="n">
        <v>4.4</v>
      </c>
      <c r="J101" s="4" t="n">
        <v>41.7</v>
      </c>
    </row>
    <row r="102" customFormat="false" ht="15" hidden="false" customHeight="false" outlineLevel="0" collapsed="false">
      <c r="A102" s="4" t="s">
        <v>120</v>
      </c>
      <c r="B102" s="4" t="s">
        <v>17</v>
      </c>
      <c r="C102" s="4" t="s">
        <v>18</v>
      </c>
      <c r="D102" s="14" t="n">
        <v>46143</v>
      </c>
      <c r="E102" s="4" t="n">
        <v>20</v>
      </c>
      <c r="F102" s="4" t="n">
        <v>21.9</v>
      </c>
      <c r="G102" s="4" t="n">
        <v>9</v>
      </c>
      <c r="H102" s="4" t="n">
        <v>9.3</v>
      </c>
      <c r="I102" s="4" t="n">
        <v>3.6</v>
      </c>
      <c r="J102" s="4" t="n">
        <v>43.8</v>
      </c>
    </row>
    <row r="103" customFormat="false" ht="15" hidden="false" customHeight="false" outlineLevel="0" collapsed="false">
      <c r="A103" s="4" t="s">
        <v>121</v>
      </c>
      <c r="B103" s="4" t="s">
        <v>24</v>
      </c>
      <c r="C103" s="4" t="s">
        <v>18</v>
      </c>
      <c r="D103" s="14" t="n">
        <v>46148</v>
      </c>
      <c r="E103" s="4" t="n">
        <v>17</v>
      </c>
      <c r="F103" s="4" t="n">
        <v>23.8</v>
      </c>
      <c r="G103" s="4" t="n">
        <v>11.9</v>
      </c>
      <c r="H103" s="4" t="n">
        <v>11.7</v>
      </c>
      <c r="I103" s="4" t="n">
        <v>6.6</v>
      </c>
      <c r="J103" s="4" t="n">
        <v>54</v>
      </c>
    </row>
    <row r="104" customFormat="false" ht="15" hidden="false" customHeight="false" outlineLevel="0" collapsed="false">
      <c r="A104" s="4" t="s">
        <v>122</v>
      </c>
      <c r="B104" s="4" t="s">
        <v>20</v>
      </c>
      <c r="C104" s="4" t="s">
        <v>53</v>
      </c>
      <c r="D104" s="14" t="n">
        <v>46059</v>
      </c>
      <c r="E104" s="4" t="n">
        <v>15</v>
      </c>
      <c r="F104" s="4" t="n">
        <v>23.3</v>
      </c>
      <c r="G104" s="4" t="n">
        <v>3</v>
      </c>
      <c r="H104" s="4" t="n">
        <v>12.3</v>
      </c>
      <c r="I104" s="4" t="n">
        <v>2.7</v>
      </c>
      <c r="J104" s="4" t="n">
        <v>41.3</v>
      </c>
    </row>
    <row r="105" customFormat="false" ht="15" hidden="false" customHeight="false" outlineLevel="0" collapsed="false">
      <c r="A105" s="4" t="s">
        <v>123</v>
      </c>
      <c r="B105" s="4" t="s">
        <v>24</v>
      </c>
      <c r="C105" s="4" t="s">
        <v>18</v>
      </c>
      <c r="D105" s="14" t="n">
        <v>46063</v>
      </c>
      <c r="E105" s="4" t="n">
        <v>14</v>
      </c>
      <c r="F105" s="4" t="n">
        <v>29.7</v>
      </c>
      <c r="G105" s="4" t="n">
        <v>2.7</v>
      </c>
      <c r="H105" s="4" t="n">
        <v>11.6</v>
      </c>
      <c r="I105" s="4" t="n">
        <v>3.9</v>
      </c>
      <c r="J105" s="4" t="n">
        <v>47.9</v>
      </c>
    </row>
    <row r="106" customFormat="false" ht="15" hidden="false" customHeight="false" outlineLevel="0" collapsed="false">
      <c r="A106" s="4" t="s">
        <v>124</v>
      </c>
      <c r="B106" s="4" t="s">
        <v>17</v>
      </c>
      <c r="C106" s="4" t="s">
        <v>18</v>
      </c>
      <c r="D106" s="14" t="n">
        <v>46047</v>
      </c>
      <c r="E106" s="4" t="n">
        <v>19</v>
      </c>
      <c r="F106" s="4" t="n">
        <v>26.7</v>
      </c>
      <c r="G106" s="4" t="n">
        <v>7.3</v>
      </c>
      <c r="H106" s="4" t="n">
        <v>13.5</v>
      </c>
      <c r="I106" s="4" t="n">
        <v>6.4</v>
      </c>
      <c r="J106" s="4" t="n">
        <v>53.9</v>
      </c>
    </row>
    <row r="107" customFormat="false" ht="15" hidden="false" customHeight="false" outlineLevel="0" collapsed="false">
      <c r="A107" s="4" t="s">
        <v>125</v>
      </c>
      <c r="B107" s="4" t="s">
        <v>24</v>
      </c>
      <c r="C107" s="4" t="s">
        <v>18</v>
      </c>
      <c r="D107" s="14" t="n">
        <v>46165</v>
      </c>
      <c r="E107" s="4" t="n">
        <v>8</v>
      </c>
      <c r="F107" s="4" t="n">
        <v>3.4</v>
      </c>
      <c r="G107" s="4" t="n">
        <v>8.8</v>
      </c>
      <c r="H107" s="4" t="n">
        <v>6.2</v>
      </c>
      <c r="I107" s="4" t="n">
        <v>3.6</v>
      </c>
      <c r="J107" s="4" t="n">
        <v>22</v>
      </c>
    </row>
    <row r="108" customFormat="false" ht="15" hidden="false" customHeight="false" outlineLevel="0" collapsed="false">
      <c r="A108" s="4" t="s">
        <v>126</v>
      </c>
      <c r="B108" s="4" t="s">
        <v>20</v>
      </c>
      <c r="C108" s="4" t="s">
        <v>53</v>
      </c>
      <c r="D108" s="14" t="n">
        <v>46189</v>
      </c>
      <c r="E108" s="4" t="n">
        <v>17</v>
      </c>
      <c r="F108" s="4" t="n">
        <v>24.4</v>
      </c>
      <c r="G108" s="4" t="n">
        <v>8.9</v>
      </c>
      <c r="H108" s="4" t="n">
        <v>12.9</v>
      </c>
      <c r="I108" s="4" t="n">
        <v>2.3</v>
      </c>
      <c r="J108" s="4" t="n">
        <v>48.5</v>
      </c>
    </row>
    <row r="109" customFormat="false" ht="15" hidden="false" customHeight="false" outlineLevel="0" collapsed="false">
      <c r="A109" s="4" t="s">
        <v>127</v>
      </c>
      <c r="B109" s="4" t="s">
        <v>24</v>
      </c>
      <c r="C109" s="4" t="s">
        <v>18</v>
      </c>
      <c r="D109" s="14" t="n">
        <v>46122</v>
      </c>
      <c r="E109" s="4" t="n">
        <v>14</v>
      </c>
      <c r="F109" s="4" t="n">
        <v>25.3</v>
      </c>
      <c r="G109" s="4" t="n">
        <v>7.7</v>
      </c>
      <c r="H109" s="4" t="n">
        <v>11.7</v>
      </c>
      <c r="I109" s="4" t="n">
        <v>3.2</v>
      </c>
      <c r="J109" s="4" t="n">
        <v>47.9</v>
      </c>
    </row>
    <row r="110" customFormat="false" ht="15" hidden="false" customHeight="false" outlineLevel="0" collapsed="false">
      <c r="A110" s="4" t="s">
        <v>128</v>
      </c>
      <c r="B110" s="4" t="s">
        <v>20</v>
      </c>
      <c r="C110" s="4" t="s">
        <v>35</v>
      </c>
      <c r="D110" s="14" t="n">
        <v>46185</v>
      </c>
      <c r="E110" s="4" t="n">
        <v>17</v>
      </c>
      <c r="F110" s="4" t="n">
        <v>29.1</v>
      </c>
      <c r="G110" s="4" t="n">
        <v>3.4</v>
      </c>
      <c r="H110" s="4" t="n">
        <v>8.1</v>
      </c>
      <c r="I110" s="4" t="n">
        <v>3.8</v>
      </c>
      <c r="J110" s="4" t="n">
        <v>44.4</v>
      </c>
    </row>
    <row r="111" customFormat="false" ht="15" hidden="false" customHeight="false" outlineLevel="0" collapsed="false">
      <c r="A111" s="4" t="s">
        <v>129</v>
      </c>
      <c r="B111" s="4" t="s">
        <v>20</v>
      </c>
      <c r="C111" s="4" t="s">
        <v>18</v>
      </c>
      <c r="D111" s="14" t="n">
        <v>46146</v>
      </c>
      <c r="E111" s="4" t="n">
        <v>20</v>
      </c>
      <c r="F111" s="4" t="n">
        <v>25.5</v>
      </c>
      <c r="G111" s="4" t="n">
        <v>2.7</v>
      </c>
      <c r="H111" s="4" t="n">
        <v>13.4</v>
      </c>
      <c r="I111" s="4" t="n">
        <v>8.9</v>
      </c>
      <c r="J111" s="4" t="n">
        <v>50.5</v>
      </c>
    </row>
    <row r="112" customFormat="false" ht="15" hidden="false" customHeight="false" outlineLevel="0" collapsed="false">
      <c r="A112" s="4" t="s">
        <v>130</v>
      </c>
      <c r="B112" s="4" t="s">
        <v>20</v>
      </c>
      <c r="C112" s="4" t="s">
        <v>53</v>
      </c>
      <c r="D112" s="14" t="n">
        <v>46203</v>
      </c>
      <c r="E112" s="4" t="n">
        <v>12</v>
      </c>
      <c r="F112" s="4" t="n">
        <v>6.4</v>
      </c>
      <c r="G112" s="4" t="n">
        <v>12</v>
      </c>
      <c r="H112" s="4" t="n">
        <v>12.4</v>
      </c>
      <c r="I112" s="4" t="n">
        <v>2.7</v>
      </c>
      <c r="J112" s="4" t="n">
        <v>33.5</v>
      </c>
    </row>
    <row r="113" customFormat="false" ht="15" hidden="false" customHeight="false" outlineLevel="0" collapsed="false">
      <c r="A113" s="4" t="s">
        <v>131</v>
      </c>
      <c r="B113" s="4" t="s">
        <v>20</v>
      </c>
      <c r="C113" s="4" t="s">
        <v>18</v>
      </c>
      <c r="D113" s="14" t="n">
        <v>46102</v>
      </c>
      <c r="E113" s="4" t="n">
        <v>21</v>
      </c>
      <c r="F113" s="4" t="n">
        <v>20.2</v>
      </c>
      <c r="G113" s="4" t="n">
        <v>10.3</v>
      </c>
      <c r="H113" s="4" t="n">
        <v>7.4</v>
      </c>
      <c r="I113" s="4" t="n">
        <v>2.1</v>
      </c>
      <c r="J113" s="4" t="n">
        <v>40</v>
      </c>
    </row>
    <row r="114" customFormat="false" ht="15" hidden="false" customHeight="false" outlineLevel="0" collapsed="false">
      <c r="A114" s="4" t="s">
        <v>132</v>
      </c>
      <c r="B114" s="4" t="s">
        <v>24</v>
      </c>
      <c r="C114" s="4" t="s">
        <v>35</v>
      </c>
      <c r="D114" s="14" t="n">
        <v>46039</v>
      </c>
      <c r="E114" s="4" t="n">
        <v>20</v>
      </c>
      <c r="F114" s="4" t="n">
        <v>25</v>
      </c>
      <c r="G114" s="4" t="n">
        <v>11</v>
      </c>
      <c r="H114" s="4" t="n">
        <v>6.1</v>
      </c>
      <c r="I114" s="4" t="n">
        <v>7.6</v>
      </c>
      <c r="J114" s="4" t="n">
        <v>49.7</v>
      </c>
    </row>
    <row r="115" customFormat="false" ht="15" hidden="false" customHeight="false" outlineLevel="0" collapsed="false">
      <c r="A115" s="4" t="s">
        <v>133</v>
      </c>
      <c r="B115" s="4" t="s">
        <v>17</v>
      </c>
      <c r="C115" s="4" t="s">
        <v>18</v>
      </c>
      <c r="D115" s="14" t="n">
        <v>46189</v>
      </c>
      <c r="E115" s="4" t="n">
        <v>11</v>
      </c>
      <c r="F115" s="4" t="n">
        <v>9.4</v>
      </c>
      <c r="G115" s="4" t="n">
        <v>9.2</v>
      </c>
      <c r="H115" s="4" t="n">
        <v>10.3</v>
      </c>
      <c r="I115" s="4" t="n">
        <v>7.9</v>
      </c>
      <c r="J115" s="4" t="n">
        <v>36.8</v>
      </c>
    </row>
    <row r="116" customFormat="false" ht="15" hidden="false" customHeight="false" outlineLevel="0" collapsed="false">
      <c r="A116" s="4" t="s">
        <v>134</v>
      </c>
      <c r="B116" s="4" t="s">
        <v>17</v>
      </c>
      <c r="C116" s="4" t="s">
        <v>53</v>
      </c>
      <c r="D116" s="14" t="n">
        <v>46192</v>
      </c>
      <c r="E116" s="4" t="n">
        <v>8</v>
      </c>
      <c r="F116" s="4" t="n">
        <v>4.6</v>
      </c>
      <c r="G116" s="4" t="n">
        <v>7.8</v>
      </c>
      <c r="H116" s="4" t="n">
        <v>11.1</v>
      </c>
      <c r="I116" s="4" t="n">
        <v>2.6</v>
      </c>
      <c r="J116" s="4" t="n">
        <v>26.1</v>
      </c>
    </row>
    <row r="117" customFormat="false" ht="15" hidden="false" customHeight="false" outlineLevel="0" collapsed="false">
      <c r="A117" s="4" t="s">
        <v>135</v>
      </c>
      <c r="B117" s="4" t="s">
        <v>20</v>
      </c>
      <c r="C117" s="4" t="s">
        <v>35</v>
      </c>
      <c r="D117" s="14" t="n">
        <v>46071</v>
      </c>
      <c r="E117" s="4" t="n">
        <v>11</v>
      </c>
      <c r="F117" s="4" t="n">
        <v>8.3</v>
      </c>
      <c r="G117" s="4" t="n">
        <v>11.7</v>
      </c>
      <c r="H117" s="4" t="n">
        <v>8.8</v>
      </c>
      <c r="I117" s="4" t="n">
        <v>8.4</v>
      </c>
      <c r="J117" s="4" t="n">
        <v>37.2</v>
      </c>
    </row>
    <row r="118" customFormat="false" ht="15" hidden="false" customHeight="false" outlineLevel="0" collapsed="false">
      <c r="A118" s="4" t="s">
        <v>136</v>
      </c>
      <c r="B118" s="4" t="s">
        <v>24</v>
      </c>
      <c r="C118" s="4" t="s">
        <v>18</v>
      </c>
      <c r="D118" s="14" t="n">
        <v>46150</v>
      </c>
      <c r="E118" s="4" t="n">
        <v>21</v>
      </c>
      <c r="F118" s="4" t="n">
        <v>27.5</v>
      </c>
      <c r="G118" s="4" t="n">
        <v>5.4</v>
      </c>
      <c r="H118" s="4" t="n">
        <v>4.3</v>
      </c>
      <c r="I118" s="4" t="n">
        <v>8.7</v>
      </c>
      <c r="J118" s="4" t="n">
        <v>45.9</v>
      </c>
    </row>
    <row r="119" customFormat="false" ht="15" hidden="false" customHeight="false" outlineLevel="0" collapsed="false">
      <c r="A119" s="4" t="s">
        <v>137</v>
      </c>
      <c r="B119" s="4" t="s">
        <v>20</v>
      </c>
      <c r="C119" s="4" t="s">
        <v>53</v>
      </c>
      <c r="D119" s="14" t="n">
        <v>46200</v>
      </c>
      <c r="E119" s="4" t="n">
        <v>18</v>
      </c>
      <c r="F119" s="4" t="n">
        <v>29.7</v>
      </c>
      <c r="G119" s="4" t="n">
        <v>10</v>
      </c>
      <c r="H119" s="4" t="n">
        <v>7</v>
      </c>
      <c r="I119" s="4" t="n">
        <v>7.5</v>
      </c>
      <c r="J119" s="4" t="n">
        <v>54.2</v>
      </c>
    </row>
    <row r="120" customFormat="false" ht="15" hidden="false" customHeight="false" outlineLevel="0" collapsed="false">
      <c r="A120" s="4" t="s">
        <v>138</v>
      </c>
      <c r="B120" s="4" t="s">
        <v>20</v>
      </c>
      <c r="C120" s="4" t="s">
        <v>18</v>
      </c>
      <c r="D120" s="14" t="n">
        <v>46143</v>
      </c>
      <c r="E120" s="4" t="n">
        <v>13</v>
      </c>
      <c r="F120" s="4" t="n">
        <v>9.4</v>
      </c>
      <c r="G120" s="4" t="n">
        <v>7.8</v>
      </c>
      <c r="H120" s="4" t="n">
        <v>12</v>
      </c>
      <c r="I120" s="4" t="n">
        <v>8.6</v>
      </c>
      <c r="J120" s="4" t="n">
        <v>37.8</v>
      </c>
    </row>
    <row r="121" customFormat="false" ht="15" hidden="false" customHeight="false" outlineLevel="0" collapsed="false">
      <c r="A121" s="4" t="s">
        <v>139</v>
      </c>
      <c r="B121" s="4" t="s">
        <v>20</v>
      </c>
      <c r="C121" s="4" t="s">
        <v>18</v>
      </c>
      <c r="D121" s="14" t="n">
        <v>46033</v>
      </c>
      <c r="E121" s="4" t="n">
        <v>16</v>
      </c>
      <c r="F121" s="4" t="n">
        <v>23.3</v>
      </c>
      <c r="G121" s="4" t="n">
        <v>8.1</v>
      </c>
      <c r="H121" s="4" t="n">
        <v>10.1</v>
      </c>
      <c r="I121" s="4" t="n">
        <v>6.4</v>
      </c>
      <c r="J121" s="4" t="n">
        <v>47.9</v>
      </c>
    </row>
    <row r="122" customFormat="false" ht="15" hidden="false" customHeight="false" outlineLevel="0" collapsed="false">
      <c r="A122" s="4" t="s">
        <v>140</v>
      </c>
      <c r="B122" s="4" t="s">
        <v>17</v>
      </c>
      <c r="C122" s="4" t="s">
        <v>35</v>
      </c>
      <c r="D122" s="14" t="n">
        <v>46193</v>
      </c>
      <c r="E122" s="4" t="n">
        <v>14</v>
      </c>
      <c r="F122" s="4" t="n">
        <v>20.5</v>
      </c>
      <c r="G122" s="4" t="n">
        <v>2.4</v>
      </c>
      <c r="H122" s="4" t="n">
        <v>14</v>
      </c>
      <c r="I122" s="4" t="n">
        <v>2.8</v>
      </c>
      <c r="J122" s="4" t="n">
        <v>39.7</v>
      </c>
    </row>
    <row r="123" customFormat="false" ht="15" hidden="false" customHeight="false" outlineLevel="0" collapsed="false">
      <c r="A123" s="4" t="s">
        <v>141</v>
      </c>
      <c r="B123" s="4" t="s">
        <v>20</v>
      </c>
      <c r="C123" s="4" t="s">
        <v>18</v>
      </c>
      <c r="D123" s="14" t="n">
        <v>46126</v>
      </c>
      <c r="E123" s="4" t="n">
        <v>14</v>
      </c>
      <c r="F123" s="4" t="n">
        <v>29.5</v>
      </c>
      <c r="G123" s="4" t="n">
        <v>9</v>
      </c>
      <c r="H123" s="4" t="n">
        <v>8.9</v>
      </c>
      <c r="I123" s="4" t="n">
        <v>6.1</v>
      </c>
      <c r="J123" s="4" t="n">
        <v>53.5</v>
      </c>
    </row>
    <row r="124" customFormat="false" ht="15" hidden="false" customHeight="false" outlineLevel="0" collapsed="false">
      <c r="A124" s="4" t="s">
        <v>142</v>
      </c>
      <c r="B124" s="4" t="s">
        <v>17</v>
      </c>
      <c r="C124" s="4" t="s">
        <v>35</v>
      </c>
      <c r="D124" s="14" t="n">
        <v>46194</v>
      </c>
      <c r="E124" s="4" t="n">
        <v>9</v>
      </c>
      <c r="F124" s="4" t="n">
        <v>5.7</v>
      </c>
      <c r="G124" s="4" t="n">
        <v>11.4</v>
      </c>
      <c r="H124" s="4" t="n">
        <v>6.1</v>
      </c>
      <c r="I124" s="4" t="n">
        <v>6.8</v>
      </c>
      <c r="J124" s="4" t="n">
        <v>30</v>
      </c>
    </row>
    <row r="125" customFormat="false" ht="15" hidden="false" customHeight="false" outlineLevel="0" collapsed="false">
      <c r="A125" s="4" t="s">
        <v>143</v>
      </c>
      <c r="B125" s="4" t="s">
        <v>20</v>
      </c>
      <c r="C125" s="4" t="s">
        <v>18</v>
      </c>
      <c r="D125" s="14" t="n">
        <v>46087</v>
      </c>
      <c r="E125" s="4" t="n">
        <v>19</v>
      </c>
      <c r="F125" s="4" t="n">
        <v>29.8</v>
      </c>
      <c r="G125" s="4" t="n">
        <v>5.7</v>
      </c>
      <c r="H125" s="4" t="n">
        <v>12.9</v>
      </c>
      <c r="I125" s="4" t="n">
        <v>6.5</v>
      </c>
      <c r="J125" s="4" t="n">
        <v>54.9</v>
      </c>
    </row>
    <row r="126" customFormat="false" ht="15" hidden="false" customHeight="false" outlineLevel="0" collapsed="false">
      <c r="A126" s="4" t="s">
        <v>144</v>
      </c>
      <c r="B126" s="4" t="s">
        <v>20</v>
      </c>
      <c r="C126" s="4" t="s">
        <v>18</v>
      </c>
      <c r="D126" s="14" t="n">
        <v>46058</v>
      </c>
      <c r="E126" s="4" t="n">
        <v>20</v>
      </c>
      <c r="F126" s="4" t="n">
        <v>24.5</v>
      </c>
      <c r="G126" s="4" t="n">
        <v>8.6</v>
      </c>
      <c r="H126" s="4" t="n">
        <v>10.1</v>
      </c>
      <c r="I126" s="4" t="n">
        <v>6.2</v>
      </c>
      <c r="J126" s="4" t="n">
        <v>49.4</v>
      </c>
    </row>
    <row r="127" customFormat="false" ht="15" hidden="false" customHeight="false" outlineLevel="0" collapsed="false">
      <c r="A127" s="4" t="s">
        <v>145</v>
      </c>
      <c r="B127" s="4" t="s">
        <v>20</v>
      </c>
      <c r="C127" s="4" t="s">
        <v>35</v>
      </c>
      <c r="D127" s="14" t="n">
        <v>46089</v>
      </c>
      <c r="E127" s="4" t="n">
        <v>21</v>
      </c>
      <c r="F127" s="4" t="n">
        <v>25.6</v>
      </c>
      <c r="G127" s="4" t="n">
        <v>2.7</v>
      </c>
      <c r="H127" s="4" t="n">
        <v>11.4</v>
      </c>
      <c r="I127" s="4" t="n">
        <v>3.5</v>
      </c>
      <c r="J127" s="4" t="n">
        <v>43.2</v>
      </c>
    </row>
    <row r="128" customFormat="false" ht="15" hidden="false" customHeight="false" outlineLevel="0" collapsed="false">
      <c r="A128" s="4" t="s">
        <v>146</v>
      </c>
      <c r="B128" s="4" t="s">
        <v>20</v>
      </c>
      <c r="C128" s="4" t="s">
        <v>35</v>
      </c>
      <c r="D128" s="14" t="n">
        <v>46111</v>
      </c>
      <c r="E128" s="4" t="n">
        <v>18</v>
      </c>
      <c r="F128" s="4" t="n">
        <v>29</v>
      </c>
      <c r="G128" s="4" t="n">
        <v>2</v>
      </c>
      <c r="H128" s="4" t="n">
        <v>12.4</v>
      </c>
      <c r="I128" s="4" t="n">
        <v>3</v>
      </c>
      <c r="J128" s="4" t="n">
        <v>46.4</v>
      </c>
    </row>
    <row r="129" customFormat="false" ht="15" hidden="false" customHeight="false" outlineLevel="0" collapsed="false">
      <c r="A129" s="4" t="s">
        <v>147</v>
      </c>
      <c r="B129" s="4" t="s">
        <v>20</v>
      </c>
      <c r="C129" s="4" t="s">
        <v>18</v>
      </c>
      <c r="D129" s="14" t="n">
        <v>46071</v>
      </c>
      <c r="E129" s="4" t="n">
        <v>9</v>
      </c>
      <c r="F129" s="4" t="n">
        <v>2.2</v>
      </c>
      <c r="G129" s="4" t="n">
        <v>2.1</v>
      </c>
      <c r="H129" s="4" t="n">
        <v>11.7</v>
      </c>
      <c r="I129" s="4" t="n">
        <v>3.7</v>
      </c>
      <c r="J129" s="4" t="n">
        <v>19.7</v>
      </c>
    </row>
    <row r="130" customFormat="false" ht="15" hidden="false" customHeight="false" outlineLevel="0" collapsed="false">
      <c r="A130" s="4" t="s">
        <v>148</v>
      </c>
      <c r="B130" s="4" t="s">
        <v>20</v>
      </c>
      <c r="C130" s="4" t="s">
        <v>18</v>
      </c>
      <c r="D130" s="14" t="n">
        <v>46040</v>
      </c>
      <c r="E130" s="4" t="n">
        <v>10</v>
      </c>
      <c r="F130" s="4" t="n">
        <v>8.2</v>
      </c>
      <c r="G130" s="4" t="n">
        <v>9.5</v>
      </c>
      <c r="H130" s="4" t="n">
        <v>8.2</v>
      </c>
      <c r="I130" s="4" t="n">
        <v>7.4</v>
      </c>
      <c r="J130" s="4" t="n">
        <v>33.3</v>
      </c>
    </row>
    <row r="131" customFormat="false" ht="15" hidden="false" customHeight="false" outlineLevel="0" collapsed="false">
      <c r="A131" s="4" t="s">
        <v>149</v>
      </c>
      <c r="B131" s="4" t="s">
        <v>17</v>
      </c>
      <c r="C131" s="4" t="s">
        <v>18</v>
      </c>
      <c r="D131" s="14" t="n">
        <v>46155</v>
      </c>
      <c r="E131" s="4" t="n">
        <v>11</v>
      </c>
      <c r="F131" s="4" t="n">
        <v>4.3</v>
      </c>
      <c r="G131" s="4" t="n">
        <v>9.8</v>
      </c>
      <c r="H131" s="4" t="n">
        <v>12.5</v>
      </c>
      <c r="I131" s="4" t="n">
        <v>5.7</v>
      </c>
      <c r="J131" s="4" t="n">
        <v>32.3</v>
      </c>
    </row>
    <row r="132" customFormat="false" ht="15" hidden="false" customHeight="false" outlineLevel="0" collapsed="false">
      <c r="A132" s="4" t="s">
        <v>150</v>
      </c>
      <c r="B132" s="4" t="s">
        <v>17</v>
      </c>
      <c r="C132" s="4" t="s">
        <v>53</v>
      </c>
      <c r="D132" s="14" t="n">
        <v>46042</v>
      </c>
      <c r="E132" s="4" t="n">
        <v>21</v>
      </c>
      <c r="F132" s="4" t="n">
        <v>24</v>
      </c>
      <c r="G132" s="4" t="n">
        <v>8.9</v>
      </c>
      <c r="H132" s="4" t="n">
        <v>8.4</v>
      </c>
      <c r="I132" s="4" t="n">
        <v>8.4</v>
      </c>
      <c r="J132" s="4" t="n">
        <v>49.7</v>
      </c>
    </row>
    <row r="133" customFormat="false" ht="15" hidden="false" customHeight="false" outlineLevel="0" collapsed="false">
      <c r="A133" s="4" t="s">
        <v>151</v>
      </c>
      <c r="B133" s="4" t="s">
        <v>20</v>
      </c>
      <c r="C133" s="4" t="s">
        <v>18</v>
      </c>
      <c r="D133" s="14" t="n">
        <v>46182</v>
      </c>
      <c r="E133" s="4" t="n">
        <v>10</v>
      </c>
      <c r="F133" s="4" t="n">
        <v>6.2</v>
      </c>
      <c r="G133" s="4" t="n">
        <v>8.3</v>
      </c>
      <c r="H133" s="4" t="n">
        <v>9</v>
      </c>
      <c r="I133" s="4" t="n">
        <v>4.3</v>
      </c>
      <c r="J133" s="4" t="n">
        <v>27.8</v>
      </c>
    </row>
    <row r="134" customFormat="false" ht="15" hidden="false" customHeight="false" outlineLevel="0" collapsed="false">
      <c r="A134" s="4" t="s">
        <v>152</v>
      </c>
      <c r="B134" s="4" t="s">
        <v>24</v>
      </c>
      <c r="C134" s="4" t="s">
        <v>18</v>
      </c>
      <c r="D134" s="14" t="n">
        <v>46143</v>
      </c>
      <c r="E134" s="4" t="n">
        <v>15</v>
      </c>
      <c r="F134" s="4" t="n">
        <v>21</v>
      </c>
      <c r="G134" s="4" t="n">
        <v>9</v>
      </c>
      <c r="H134" s="4" t="n">
        <v>12.4</v>
      </c>
      <c r="I134" s="4" t="n">
        <v>6.6</v>
      </c>
      <c r="J134" s="4" t="n">
        <v>49</v>
      </c>
    </row>
    <row r="135" customFormat="false" ht="15" hidden="false" customHeight="false" outlineLevel="0" collapsed="false">
      <c r="A135" s="4" t="s">
        <v>153</v>
      </c>
      <c r="B135" s="4" t="s">
        <v>24</v>
      </c>
      <c r="C135" s="4" t="s">
        <v>35</v>
      </c>
      <c r="D135" s="14" t="n">
        <v>46082</v>
      </c>
      <c r="E135" s="4" t="n">
        <v>14</v>
      </c>
      <c r="F135" s="4" t="n">
        <v>22.3</v>
      </c>
      <c r="G135" s="4" t="n">
        <v>5.4</v>
      </c>
      <c r="H135" s="4" t="n">
        <v>8</v>
      </c>
      <c r="I135" s="4" t="n">
        <v>4.9</v>
      </c>
      <c r="J135" s="4" t="n">
        <v>40.6</v>
      </c>
    </row>
    <row r="136" customFormat="false" ht="15" hidden="false" customHeight="false" outlineLevel="0" collapsed="false">
      <c r="A136" s="4" t="s">
        <v>154</v>
      </c>
      <c r="B136" s="4" t="s">
        <v>20</v>
      </c>
      <c r="C136" s="4" t="s">
        <v>18</v>
      </c>
      <c r="D136" s="14" t="n">
        <v>46197</v>
      </c>
      <c r="E136" s="4" t="n">
        <v>12</v>
      </c>
      <c r="F136" s="4" t="n">
        <v>9.5</v>
      </c>
      <c r="G136" s="4" t="n">
        <v>6.7</v>
      </c>
      <c r="H136" s="4" t="n">
        <v>4</v>
      </c>
      <c r="I136" s="4" t="n">
        <v>2.6</v>
      </c>
      <c r="J136" s="4" t="n">
        <v>22.8</v>
      </c>
    </row>
    <row r="137" customFormat="false" ht="15" hidden="false" customHeight="false" outlineLevel="0" collapsed="false">
      <c r="A137" s="4" t="s">
        <v>155</v>
      </c>
      <c r="B137" s="4" t="s">
        <v>20</v>
      </c>
      <c r="C137" s="4" t="s">
        <v>35</v>
      </c>
      <c r="D137" s="14" t="n">
        <v>46122</v>
      </c>
      <c r="E137" s="4" t="n">
        <v>19</v>
      </c>
      <c r="F137" s="4" t="n">
        <v>20.6</v>
      </c>
      <c r="G137" s="4" t="n">
        <v>11.6</v>
      </c>
      <c r="H137" s="4" t="n">
        <v>9.2</v>
      </c>
      <c r="I137" s="4" t="n">
        <v>6.7</v>
      </c>
      <c r="J137" s="4" t="n">
        <v>48.1</v>
      </c>
    </row>
    <row r="138" customFormat="false" ht="15" hidden="false" customHeight="false" outlineLevel="0" collapsed="false">
      <c r="A138" s="4" t="s">
        <v>156</v>
      </c>
      <c r="B138" s="4" t="s">
        <v>20</v>
      </c>
      <c r="C138" s="4" t="s">
        <v>35</v>
      </c>
      <c r="D138" s="14" t="n">
        <v>46135</v>
      </c>
      <c r="E138" s="4" t="n">
        <v>19</v>
      </c>
      <c r="F138" s="4" t="n">
        <v>20.5</v>
      </c>
      <c r="G138" s="4" t="n">
        <v>4.9</v>
      </c>
      <c r="H138" s="4" t="n">
        <v>6.4</v>
      </c>
      <c r="I138" s="4" t="n">
        <v>2.7</v>
      </c>
      <c r="J138" s="4" t="n">
        <v>34.5</v>
      </c>
    </row>
    <row r="139" customFormat="false" ht="15" hidden="false" customHeight="false" outlineLevel="0" collapsed="false">
      <c r="A139" s="4" t="s">
        <v>157</v>
      </c>
      <c r="B139" s="4" t="s">
        <v>17</v>
      </c>
      <c r="C139" s="4" t="s">
        <v>18</v>
      </c>
      <c r="D139" s="14" t="n">
        <v>46150</v>
      </c>
      <c r="E139" s="4" t="n">
        <v>11</v>
      </c>
      <c r="F139" s="4" t="n">
        <v>6.8</v>
      </c>
      <c r="G139" s="4" t="n">
        <v>7.6</v>
      </c>
      <c r="H139" s="4" t="n">
        <v>4.3</v>
      </c>
      <c r="I139" s="4" t="n">
        <v>3.9</v>
      </c>
      <c r="J139" s="4" t="n">
        <v>22.6</v>
      </c>
    </row>
    <row r="140" customFormat="false" ht="15" hidden="false" customHeight="false" outlineLevel="0" collapsed="false">
      <c r="A140" s="4" t="s">
        <v>158</v>
      </c>
      <c r="B140" s="4" t="s">
        <v>20</v>
      </c>
      <c r="C140" s="4" t="s">
        <v>18</v>
      </c>
      <c r="D140" s="14" t="n">
        <v>46170</v>
      </c>
      <c r="E140" s="4" t="n">
        <v>21</v>
      </c>
      <c r="F140" s="4" t="n">
        <v>26.2</v>
      </c>
      <c r="G140" s="4" t="n">
        <v>8.7</v>
      </c>
      <c r="H140" s="4" t="n">
        <v>9.1</v>
      </c>
      <c r="I140" s="4" t="n">
        <v>6.3</v>
      </c>
      <c r="J140" s="4" t="n">
        <v>50.3</v>
      </c>
    </row>
    <row r="141" customFormat="false" ht="15" hidden="false" customHeight="false" outlineLevel="0" collapsed="false">
      <c r="A141" s="4" t="s">
        <v>159</v>
      </c>
      <c r="B141" s="4" t="s">
        <v>17</v>
      </c>
      <c r="C141" s="4" t="s">
        <v>18</v>
      </c>
      <c r="D141" s="14" t="n">
        <v>46034</v>
      </c>
      <c r="E141" s="4" t="n">
        <v>11</v>
      </c>
      <c r="F141" s="4" t="n">
        <v>10.1</v>
      </c>
      <c r="G141" s="4" t="n">
        <v>11.2</v>
      </c>
      <c r="H141" s="4" t="n">
        <v>6.9</v>
      </c>
      <c r="I141" s="4" t="n">
        <v>3.3</v>
      </c>
      <c r="J141" s="4" t="n">
        <v>31.5</v>
      </c>
    </row>
    <row r="142" customFormat="false" ht="15" hidden="false" customHeight="false" outlineLevel="0" collapsed="false">
      <c r="A142" s="4" t="s">
        <v>160</v>
      </c>
      <c r="B142" s="4" t="s">
        <v>20</v>
      </c>
      <c r="C142" s="4" t="s">
        <v>18</v>
      </c>
      <c r="D142" s="14" t="n">
        <v>46044</v>
      </c>
      <c r="E142" s="4" t="n">
        <v>10</v>
      </c>
      <c r="F142" s="4" t="n">
        <v>11.8</v>
      </c>
      <c r="G142" s="4" t="n">
        <v>2.9</v>
      </c>
      <c r="H142" s="4" t="n">
        <v>8.8</v>
      </c>
      <c r="I142" s="4" t="n">
        <v>4.6</v>
      </c>
      <c r="J142" s="4" t="n">
        <v>28.1</v>
      </c>
    </row>
    <row r="143" customFormat="false" ht="15" hidden="false" customHeight="false" outlineLevel="0" collapsed="false">
      <c r="A143" s="4" t="s">
        <v>161</v>
      </c>
      <c r="B143" s="4" t="s">
        <v>17</v>
      </c>
      <c r="C143" s="4" t="s">
        <v>18</v>
      </c>
      <c r="D143" s="14" t="n">
        <v>46106</v>
      </c>
      <c r="E143" s="4" t="n">
        <v>18</v>
      </c>
      <c r="F143" s="4" t="n">
        <v>29.4</v>
      </c>
      <c r="G143" s="4" t="n">
        <v>8</v>
      </c>
      <c r="H143" s="4" t="n">
        <v>12.7</v>
      </c>
      <c r="I143" s="4" t="n">
        <v>3.1</v>
      </c>
      <c r="J143" s="4" t="n">
        <v>53.2</v>
      </c>
    </row>
    <row r="144" customFormat="false" ht="15" hidden="false" customHeight="false" outlineLevel="0" collapsed="false">
      <c r="A144" s="4" t="s">
        <v>162</v>
      </c>
      <c r="B144" s="4" t="s">
        <v>24</v>
      </c>
      <c r="C144" s="4" t="s">
        <v>18</v>
      </c>
      <c r="D144" s="14" t="n">
        <v>46047</v>
      </c>
      <c r="E144" s="4" t="n">
        <v>12</v>
      </c>
      <c r="F144" s="4" t="n">
        <v>7.4</v>
      </c>
      <c r="G144" s="4" t="n">
        <v>8.1</v>
      </c>
      <c r="H144" s="4" t="n">
        <v>7.6</v>
      </c>
      <c r="I144" s="4" t="n">
        <v>3.5</v>
      </c>
      <c r="J144" s="4" t="n">
        <v>26.6</v>
      </c>
    </row>
    <row r="145" customFormat="false" ht="15" hidden="false" customHeight="false" outlineLevel="0" collapsed="false">
      <c r="A145" s="4" t="s">
        <v>163</v>
      </c>
      <c r="B145" s="4" t="s">
        <v>17</v>
      </c>
      <c r="C145" s="4" t="s">
        <v>18</v>
      </c>
      <c r="D145" s="14" t="n">
        <v>46055</v>
      </c>
      <c r="E145" s="4" t="n">
        <v>12</v>
      </c>
      <c r="F145" s="4" t="n">
        <v>8.7</v>
      </c>
      <c r="G145" s="4" t="n">
        <v>7.3</v>
      </c>
      <c r="H145" s="4" t="n">
        <v>6.4</v>
      </c>
      <c r="I145" s="4" t="n">
        <v>3.5</v>
      </c>
      <c r="J145" s="4" t="n">
        <v>25.9</v>
      </c>
    </row>
    <row r="146" customFormat="false" ht="15" hidden="false" customHeight="false" outlineLevel="0" collapsed="false">
      <c r="A146" s="4" t="s">
        <v>164</v>
      </c>
      <c r="B146" s="4" t="s">
        <v>24</v>
      </c>
      <c r="C146" s="4" t="s">
        <v>18</v>
      </c>
      <c r="D146" s="14" t="n">
        <v>46079</v>
      </c>
      <c r="E146" s="4" t="n">
        <v>12</v>
      </c>
      <c r="F146" s="4" t="n">
        <v>10.1</v>
      </c>
      <c r="G146" s="4" t="n">
        <v>9.6</v>
      </c>
      <c r="H146" s="4" t="n">
        <v>6.2</v>
      </c>
      <c r="I146" s="4" t="n">
        <v>2.8</v>
      </c>
      <c r="J146" s="4" t="n">
        <v>28.7</v>
      </c>
    </row>
    <row r="147" customFormat="false" ht="15" hidden="false" customHeight="false" outlineLevel="0" collapsed="false">
      <c r="A147" s="4" t="s">
        <v>165</v>
      </c>
      <c r="B147" s="4" t="s">
        <v>17</v>
      </c>
      <c r="C147" s="4" t="s">
        <v>18</v>
      </c>
      <c r="D147" s="14" t="n">
        <v>46060</v>
      </c>
      <c r="E147" s="4" t="n">
        <v>13</v>
      </c>
      <c r="F147" s="4" t="n">
        <v>5.8</v>
      </c>
      <c r="G147" s="4" t="n">
        <v>7.6</v>
      </c>
      <c r="H147" s="4" t="n">
        <v>10.3</v>
      </c>
      <c r="I147" s="4" t="n">
        <v>4.5</v>
      </c>
      <c r="J147" s="4" t="n">
        <v>28.2</v>
      </c>
    </row>
    <row r="148" customFormat="false" ht="15" hidden="false" customHeight="false" outlineLevel="0" collapsed="false">
      <c r="A148" s="4" t="s">
        <v>166</v>
      </c>
      <c r="B148" s="4" t="s">
        <v>20</v>
      </c>
      <c r="C148" s="4" t="s">
        <v>35</v>
      </c>
      <c r="D148" s="14" t="n">
        <v>46138</v>
      </c>
      <c r="E148" s="4" t="n">
        <v>7</v>
      </c>
      <c r="F148" s="4" t="n">
        <v>2.5</v>
      </c>
      <c r="G148" s="4" t="n">
        <v>5.1</v>
      </c>
      <c r="H148" s="4" t="n">
        <v>7.7</v>
      </c>
      <c r="I148" s="4" t="n">
        <v>4.8</v>
      </c>
      <c r="J148" s="4" t="n">
        <v>20.1</v>
      </c>
    </row>
    <row r="149" customFormat="false" ht="15" hidden="false" customHeight="false" outlineLevel="0" collapsed="false">
      <c r="A149" s="4" t="s">
        <v>167</v>
      </c>
      <c r="B149" s="4" t="s">
        <v>17</v>
      </c>
      <c r="C149" s="4" t="s">
        <v>18</v>
      </c>
      <c r="D149" s="14" t="n">
        <v>46130</v>
      </c>
      <c r="E149" s="4" t="n">
        <v>7</v>
      </c>
      <c r="F149" s="4" t="n">
        <v>3</v>
      </c>
      <c r="G149" s="4" t="n">
        <v>11.5</v>
      </c>
      <c r="H149" s="4" t="n">
        <v>8.1</v>
      </c>
      <c r="I149" s="4" t="n">
        <v>6.8</v>
      </c>
      <c r="J149" s="4" t="n">
        <v>29.4</v>
      </c>
    </row>
    <row r="150" customFormat="false" ht="15" hidden="false" customHeight="false" outlineLevel="0" collapsed="false">
      <c r="A150" s="4" t="s">
        <v>168</v>
      </c>
      <c r="B150" s="4" t="s">
        <v>20</v>
      </c>
      <c r="C150" s="4" t="s">
        <v>18</v>
      </c>
      <c r="D150" s="14" t="n">
        <v>46054</v>
      </c>
      <c r="E150" s="4" t="n">
        <v>12</v>
      </c>
      <c r="F150" s="4" t="n">
        <v>7.2</v>
      </c>
      <c r="G150" s="4" t="n">
        <v>2.8</v>
      </c>
      <c r="H150" s="4" t="n">
        <v>12.6</v>
      </c>
      <c r="I150" s="4" t="n">
        <v>7.2</v>
      </c>
      <c r="J150" s="4" t="n">
        <v>29.8</v>
      </c>
    </row>
    <row r="151" customFormat="false" ht="15" hidden="false" customHeight="false" outlineLevel="0" collapsed="false">
      <c r="A151" s="4" t="s">
        <v>169</v>
      </c>
      <c r="B151" s="4" t="s">
        <v>20</v>
      </c>
      <c r="C151" s="4" t="s">
        <v>35</v>
      </c>
      <c r="D151" s="14" t="n">
        <v>46046</v>
      </c>
      <c r="E151" s="4" t="n">
        <v>15</v>
      </c>
      <c r="F151" s="4" t="n">
        <v>25.3</v>
      </c>
      <c r="G151" s="4" t="n">
        <v>3.9</v>
      </c>
      <c r="H151" s="4" t="n">
        <v>11.5</v>
      </c>
      <c r="I151" s="4" t="n">
        <v>4.5</v>
      </c>
      <c r="J151" s="4" t="n">
        <v>45.2</v>
      </c>
    </row>
    <row r="152" customFormat="false" ht="15" hidden="false" customHeight="false" outlineLevel="0" collapsed="false">
      <c r="A152" s="4" t="s">
        <v>170</v>
      </c>
      <c r="B152" s="4" t="s">
        <v>24</v>
      </c>
      <c r="C152" s="4" t="s">
        <v>18</v>
      </c>
      <c r="D152" s="14" t="n">
        <v>46064</v>
      </c>
      <c r="E152" s="4" t="n">
        <v>12</v>
      </c>
      <c r="F152" s="4" t="n">
        <v>6</v>
      </c>
      <c r="G152" s="4" t="n">
        <v>3.7</v>
      </c>
      <c r="H152" s="4" t="n">
        <v>4.7</v>
      </c>
      <c r="I152" s="4" t="n">
        <v>7.3</v>
      </c>
      <c r="J152" s="4" t="n">
        <v>21.7</v>
      </c>
    </row>
    <row r="153" customFormat="false" ht="15" hidden="false" customHeight="false" outlineLevel="0" collapsed="false">
      <c r="A153" s="4" t="s">
        <v>171</v>
      </c>
      <c r="B153" s="4" t="s">
        <v>20</v>
      </c>
      <c r="C153" s="4" t="s">
        <v>53</v>
      </c>
      <c r="D153" s="14" t="n">
        <v>46187</v>
      </c>
      <c r="E153" s="4" t="n">
        <v>15</v>
      </c>
      <c r="F153" s="4" t="n">
        <v>25.6</v>
      </c>
      <c r="G153" s="4" t="n">
        <v>7.8</v>
      </c>
      <c r="H153" s="4" t="n">
        <v>10.5</v>
      </c>
      <c r="I153" s="4" t="n">
        <v>8.2</v>
      </c>
      <c r="J153" s="4" t="n">
        <v>52.1</v>
      </c>
    </row>
    <row r="154" customFormat="false" ht="15" hidden="false" customHeight="false" outlineLevel="0" collapsed="false">
      <c r="A154" s="4" t="s">
        <v>172</v>
      </c>
      <c r="B154" s="4" t="s">
        <v>17</v>
      </c>
      <c r="C154" s="4" t="s">
        <v>53</v>
      </c>
      <c r="D154" s="14" t="n">
        <v>46109</v>
      </c>
      <c r="E154" s="4" t="n">
        <v>19</v>
      </c>
      <c r="F154" s="4" t="n">
        <v>23.2</v>
      </c>
      <c r="G154" s="4" t="n">
        <v>6.4</v>
      </c>
      <c r="H154" s="4" t="n">
        <v>8.2</v>
      </c>
      <c r="I154" s="4" t="n">
        <v>6.4</v>
      </c>
      <c r="J154" s="4" t="n">
        <v>44.2</v>
      </c>
    </row>
    <row r="155" customFormat="false" ht="15" hidden="false" customHeight="false" outlineLevel="0" collapsed="false">
      <c r="A155" s="4" t="s">
        <v>173</v>
      </c>
      <c r="B155" s="4" t="s">
        <v>24</v>
      </c>
      <c r="C155" s="4" t="s">
        <v>18</v>
      </c>
      <c r="D155" s="14" t="n">
        <v>46117</v>
      </c>
      <c r="E155" s="4" t="n">
        <v>15</v>
      </c>
      <c r="F155" s="4" t="n">
        <v>24.6</v>
      </c>
      <c r="G155" s="4" t="n">
        <v>2.4</v>
      </c>
      <c r="H155" s="4" t="n">
        <v>7.1</v>
      </c>
      <c r="I155" s="4" t="n">
        <v>4</v>
      </c>
      <c r="J155" s="4" t="n">
        <v>38.1</v>
      </c>
    </row>
    <row r="156" customFormat="false" ht="15" hidden="false" customHeight="false" outlineLevel="0" collapsed="false">
      <c r="A156" s="4" t="s">
        <v>174</v>
      </c>
      <c r="B156" s="4" t="s">
        <v>17</v>
      </c>
      <c r="C156" s="4" t="s">
        <v>53</v>
      </c>
      <c r="D156" s="14" t="n">
        <v>46050</v>
      </c>
      <c r="E156" s="4" t="n">
        <v>16</v>
      </c>
      <c r="F156" s="4" t="n">
        <v>23.8</v>
      </c>
      <c r="G156" s="4" t="n">
        <v>7.8</v>
      </c>
      <c r="H156" s="4" t="n">
        <v>13.5</v>
      </c>
      <c r="I156" s="4" t="n">
        <v>7.2</v>
      </c>
      <c r="J156" s="4" t="n">
        <v>52.3</v>
      </c>
    </row>
    <row r="157" customFormat="false" ht="15" hidden="false" customHeight="false" outlineLevel="0" collapsed="false">
      <c r="A157" s="4" t="s">
        <v>175</v>
      </c>
      <c r="B157" s="4" t="s">
        <v>20</v>
      </c>
      <c r="C157" s="4" t="s">
        <v>53</v>
      </c>
      <c r="D157" s="14" t="n">
        <v>46173</v>
      </c>
      <c r="E157" s="4" t="n">
        <v>17</v>
      </c>
      <c r="F157" s="4" t="n">
        <v>26.1</v>
      </c>
      <c r="G157" s="4" t="n">
        <v>7</v>
      </c>
      <c r="H157" s="4" t="n">
        <v>13.5</v>
      </c>
      <c r="I157" s="4" t="n">
        <v>5.2</v>
      </c>
      <c r="J157" s="4" t="n">
        <v>51.8</v>
      </c>
    </row>
    <row r="158" customFormat="false" ht="15" hidden="false" customHeight="false" outlineLevel="0" collapsed="false">
      <c r="A158" s="4" t="s">
        <v>176</v>
      </c>
      <c r="B158" s="4" t="s">
        <v>24</v>
      </c>
      <c r="C158" s="4" t="s">
        <v>35</v>
      </c>
      <c r="D158" s="14" t="n">
        <v>46048</v>
      </c>
      <c r="E158" s="4" t="n">
        <v>15</v>
      </c>
      <c r="F158" s="4" t="n">
        <v>20.4</v>
      </c>
      <c r="G158" s="4" t="n">
        <v>9.1</v>
      </c>
      <c r="H158" s="4" t="n">
        <v>13.9</v>
      </c>
      <c r="I158" s="4" t="n">
        <v>5.7</v>
      </c>
      <c r="J158" s="4" t="n">
        <v>49.1</v>
      </c>
    </row>
    <row r="159" customFormat="false" ht="15" hidden="false" customHeight="false" outlineLevel="0" collapsed="false">
      <c r="A159" s="4" t="s">
        <v>177</v>
      </c>
      <c r="B159" s="4" t="s">
        <v>17</v>
      </c>
      <c r="C159" s="4" t="s">
        <v>18</v>
      </c>
      <c r="D159" s="14" t="n">
        <v>46099</v>
      </c>
      <c r="E159" s="4" t="n">
        <v>13</v>
      </c>
      <c r="F159" s="4" t="n">
        <v>6.7</v>
      </c>
      <c r="G159" s="4" t="n">
        <v>8</v>
      </c>
      <c r="H159" s="4" t="n">
        <v>11.7</v>
      </c>
      <c r="I159" s="4" t="n">
        <v>6.5</v>
      </c>
      <c r="J159" s="4" t="n">
        <v>32.9</v>
      </c>
    </row>
    <row r="160" customFormat="false" ht="15" hidden="false" customHeight="false" outlineLevel="0" collapsed="false">
      <c r="A160" s="4" t="s">
        <v>178</v>
      </c>
      <c r="B160" s="4" t="s">
        <v>20</v>
      </c>
      <c r="C160" s="4" t="s">
        <v>18</v>
      </c>
      <c r="D160" s="14" t="n">
        <v>46200</v>
      </c>
      <c r="E160" s="4" t="n">
        <v>13</v>
      </c>
      <c r="F160" s="4" t="n">
        <v>9.8</v>
      </c>
      <c r="G160" s="4" t="n">
        <v>8.6</v>
      </c>
      <c r="H160" s="4" t="n">
        <v>13</v>
      </c>
      <c r="I160" s="4" t="n">
        <v>8.1</v>
      </c>
      <c r="J160" s="4" t="n">
        <v>39.5</v>
      </c>
    </row>
    <row r="161" customFormat="false" ht="15" hidden="false" customHeight="false" outlineLevel="0" collapsed="false">
      <c r="A161" s="4" t="s">
        <v>179</v>
      </c>
      <c r="B161" s="4" t="s">
        <v>20</v>
      </c>
      <c r="C161" s="4" t="s">
        <v>18</v>
      </c>
      <c r="D161" s="14" t="n">
        <v>46063</v>
      </c>
      <c r="E161" s="4" t="n">
        <v>20</v>
      </c>
      <c r="F161" s="4" t="n">
        <v>29.7</v>
      </c>
      <c r="G161" s="4" t="n">
        <v>9</v>
      </c>
      <c r="H161" s="4" t="n">
        <v>7.3</v>
      </c>
      <c r="I161" s="4" t="n">
        <v>6.2</v>
      </c>
      <c r="J161" s="4" t="n">
        <v>52.2</v>
      </c>
    </row>
    <row r="162" customFormat="false" ht="15" hidden="false" customHeight="false" outlineLevel="0" collapsed="false">
      <c r="A162" s="4" t="s">
        <v>180</v>
      </c>
      <c r="B162" s="4" t="s">
        <v>24</v>
      </c>
      <c r="C162" s="4" t="s">
        <v>18</v>
      </c>
      <c r="D162" s="14" t="n">
        <v>46123</v>
      </c>
      <c r="E162" s="4" t="n">
        <v>16</v>
      </c>
      <c r="F162" s="4" t="n">
        <v>28.1</v>
      </c>
      <c r="G162" s="4" t="n">
        <v>8.7</v>
      </c>
      <c r="H162" s="4" t="n">
        <v>12.1</v>
      </c>
      <c r="I162" s="4" t="n">
        <v>7.2</v>
      </c>
      <c r="J162" s="4" t="n">
        <v>56.1</v>
      </c>
    </row>
    <row r="163" customFormat="false" ht="15" hidden="false" customHeight="false" outlineLevel="0" collapsed="false">
      <c r="A163" s="4" t="s">
        <v>181</v>
      </c>
      <c r="B163" s="4" t="s">
        <v>17</v>
      </c>
      <c r="C163" s="4" t="s">
        <v>18</v>
      </c>
      <c r="D163" s="14" t="n">
        <v>46192</v>
      </c>
      <c r="E163" s="4" t="n">
        <v>17</v>
      </c>
      <c r="F163" s="4" t="n">
        <v>23.6</v>
      </c>
      <c r="G163" s="4" t="n">
        <v>5.6</v>
      </c>
      <c r="H163" s="4" t="n">
        <v>5</v>
      </c>
      <c r="I163" s="4" t="n">
        <v>3.5</v>
      </c>
      <c r="J163" s="4" t="n">
        <v>37.7</v>
      </c>
    </row>
    <row r="164" customFormat="false" ht="15" hidden="false" customHeight="false" outlineLevel="0" collapsed="false">
      <c r="A164" s="4" t="s">
        <v>182</v>
      </c>
      <c r="B164" s="4" t="s">
        <v>24</v>
      </c>
      <c r="C164" s="4" t="s">
        <v>18</v>
      </c>
      <c r="D164" s="14" t="n">
        <v>46084</v>
      </c>
      <c r="E164" s="4" t="n">
        <v>21</v>
      </c>
      <c r="F164" s="4" t="n">
        <v>20.8</v>
      </c>
      <c r="G164" s="4" t="n">
        <v>10.4</v>
      </c>
      <c r="H164" s="4" t="n">
        <v>4.1</v>
      </c>
      <c r="I164" s="4" t="n">
        <v>7.4</v>
      </c>
      <c r="J164" s="4" t="n">
        <v>42.7</v>
      </c>
    </row>
    <row r="165" customFormat="false" ht="15" hidden="false" customHeight="false" outlineLevel="0" collapsed="false">
      <c r="A165" s="4" t="s">
        <v>183</v>
      </c>
      <c r="B165" s="4" t="s">
        <v>24</v>
      </c>
      <c r="C165" s="4" t="s">
        <v>35</v>
      </c>
      <c r="D165" s="14" t="n">
        <v>46036</v>
      </c>
      <c r="E165" s="4" t="n">
        <v>17</v>
      </c>
      <c r="F165" s="4" t="n">
        <v>27.7</v>
      </c>
      <c r="G165" s="4" t="n">
        <v>3.3</v>
      </c>
      <c r="H165" s="4" t="n">
        <v>7.1</v>
      </c>
      <c r="I165" s="4" t="n">
        <v>3.1</v>
      </c>
      <c r="J165" s="4" t="n">
        <v>41.2</v>
      </c>
    </row>
    <row r="166" customFormat="false" ht="15" hidden="false" customHeight="false" outlineLevel="0" collapsed="false">
      <c r="A166" s="4" t="s">
        <v>184</v>
      </c>
      <c r="B166" s="4" t="s">
        <v>24</v>
      </c>
      <c r="C166" s="4" t="s">
        <v>35</v>
      </c>
      <c r="D166" s="14" t="n">
        <v>46069</v>
      </c>
      <c r="E166" s="4" t="n">
        <v>18</v>
      </c>
      <c r="F166" s="4" t="n">
        <v>24.1</v>
      </c>
      <c r="G166" s="4" t="n">
        <v>8.8</v>
      </c>
      <c r="H166" s="4" t="n">
        <v>5.6</v>
      </c>
      <c r="I166" s="4" t="n">
        <v>5.1</v>
      </c>
      <c r="J166" s="4" t="n">
        <v>43.6</v>
      </c>
    </row>
    <row r="167" customFormat="false" ht="15" hidden="false" customHeight="false" outlineLevel="0" collapsed="false">
      <c r="A167" s="4" t="s">
        <v>185</v>
      </c>
      <c r="B167" s="4" t="s">
        <v>20</v>
      </c>
      <c r="C167" s="4" t="s">
        <v>35</v>
      </c>
      <c r="D167" s="14" t="n">
        <v>46141</v>
      </c>
      <c r="E167" s="4" t="n">
        <v>12</v>
      </c>
      <c r="F167" s="4" t="n">
        <v>6.5</v>
      </c>
      <c r="G167" s="4" t="n">
        <v>10.1</v>
      </c>
      <c r="H167" s="4" t="n">
        <v>8.2</v>
      </c>
      <c r="I167" s="4" t="n">
        <v>7.8</v>
      </c>
      <c r="J167" s="4" t="n">
        <v>32.6</v>
      </c>
    </row>
    <row r="168" customFormat="false" ht="15" hidden="false" customHeight="false" outlineLevel="0" collapsed="false">
      <c r="A168" s="4" t="s">
        <v>186</v>
      </c>
      <c r="B168" s="4" t="s">
        <v>20</v>
      </c>
      <c r="C168" s="4" t="s">
        <v>53</v>
      </c>
      <c r="D168" s="14" t="n">
        <v>46139</v>
      </c>
      <c r="E168" s="4" t="n">
        <v>14</v>
      </c>
      <c r="F168" s="4" t="n">
        <v>27.8</v>
      </c>
      <c r="G168" s="4" t="n">
        <v>7</v>
      </c>
      <c r="H168" s="4" t="n">
        <v>7.6</v>
      </c>
      <c r="I168" s="4" t="n">
        <v>3.1</v>
      </c>
      <c r="J168" s="4" t="n">
        <v>45.5</v>
      </c>
    </row>
    <row r="169" customFormat="false" ht="15" hidden="false" customHeight="false" outlineLevel="0" collapsed="false">
      <c r="A169" s="4" t="s">
        <v>187</v>
      </c>
      <c r="B169" s="4" t="s">
        <v>20</v>
      </c>
      <c r="C169" s="4" t="s">
        <v>18</v>
      </c>
      <c r="D169" s="14" t="n">
        <v>46091</v>
      </c>
      <c r="E169" s="4" t="n">
        <v>8</v>
      </c>
      <c r="F169" s="4" t="n">
        <v>7.2</v>
      </c>
      <c r="G169" s="4" t="n">
        <v>7.5</v>
      </c>
      <c r="H169" s="4" t="n">
        <v>4.1</v>
      </c>
      <c r="I169" s="4" t="n">
        <v>7.9</v>
      </c>
      <c r="J169" s="4" t="n">
        <v>26.7</v>
      </c>
    </row>
    <row r="170" customFormat="false" ht="15" hidden="false" customHeight="false" outlineLevel="0" collapsed="false">
      <c r="A170" s="4" t="s">
        <v>188</v>
      </c>
      <c r="B170" s="4" t="s">
        <v>24</v>
      </c>
      <c r="C170" s="4" t="s">
        <v>18</v>
      </c>
      <c r="D170" s="14" t="n">
        <v>46068</v>
      </c>
      <c r="E170" s="4" t="n">
        <v>12</v>
      </c>
      <c r="F170" s="4" t="n">
        <v>8.1</v>
      </c>
      <c r="G170" s="4" t="n">
        <v>10.3</v>
      </c>
      <c r="H170" s="4" t="n">
        <v>4</v>
      </c>
      <c r="I170" s="4" t="n">
        <v>8.4</v>
      </c>
      <c r="J170" s="4" t="n">
        <v>30.8</v>
      </c>
    </row>
    <row r="171" customFormat="false" ht="15" hidden="false" customHeight="false" outlineLevel="0" collapsed="false">
      <c r="A171" s="4" t="s">
        <v>189</v>
      </c>
      <c r="B171" s="4" t="s">
        <v>24</v>
      </c>
      <c r="C171" s="4" t="s">
        <v>35</v>
      </c>
      <c r="D171" s="14" t="n">
        <v>46033</v>
      </c>
      <c r="E171" s="4" t="n">
        <v>14</v>
      </c>
      <c r="F171" s="4" t="n">
        <v>25</v>
      </c>
      <c r="G171" s="4" t="n">
        <v>4.4</v>
      </c>
      <c r="H171" s="4" t="n">
        <v>13.9</v>
      </c>
      <c r="I171" s="4" t="n">
        <v>4.6</v>
      </c>
      <c r="J171" s="4" t="n">
        <v>47.9</v>
      </c>
    </row>
    <row r="172" customFormat="false" ht="15" hidden="false" customHeight="false" outlineLevel="0" collapsed="false">
      <c r="A172" s="4" t="s">
        <v>190</v>
      </c>
      <c r="B172" s="4" t="s">
        <v>20</v>
      </c>
      <c r="C172" s="4" t="s">
        <v>53</v>
      </c>
      <c r="D172" s="14" t="n">
        <v>46193</v>
      </c>
      <c r="E172" s="4" t="n">
        <v>13</v>
      </c>
      <c r="F172" s="4" t="n">
        <v>5.1</v>
      </c>
      <c r="G172" s="4" t="n">
        <v>4.9</v>
      </c>
      <c r="H172" s="4" t="n">
        <v>12.1</v>
      </c>
      <c r="I172" s="4" t="n">
        <v>6.9</v>
      </c>
      <c r="J172" s="4" t="n">
        <v>29</v>
      </c>
    </row>
    <row r="173" customFormat="false" ht="15" hidden="false" customHeight="false" outlineLevel="0" collapsed="false">
      <c r="A173" s="4" t="s">
        <v>191</v>
      </c>
      <c r="B173" s="4" t="s">
        <v>20</v>
      </c>
      <c r="C173" s="4" t="s">
        <v>35</v>
      </c>
      <c r="D173" s="14" t="n">
        <v>46141</v>
      </c>
      <c r="E173" s="4" t="n">
        <v>16</v>
      </c>
      <c r="F173" s="4" t="n">
        <v>20.8</v>
      </c>
      <c r="G173" s="4" t="n">
        <v>4.6</v>
      </c>
      <c r="H173" s="4" t="n">
        <v>12.2</v>
      </c>
      <c r="I173" s="4" t="n">
        <v>5.8</v>
      </c>
      <c r="J173" s="4" t="n">
        <v>43.4</v>
      </c>
    </row>
    <row r="174" customFormat="false" ht="15" hidden="false" customHeight="false" outlineLevel="0" collapsed="false">
      <c r="A174" s="4" t="s">
        <v>192</v>
      </c>
      <c r="B174" s="4" t="s">
        <v>17</v>
      </c>
      <c r="C174" s="4" t="s">
        <v>18</v>
      </c>
      <c r="D174" s="14" t="n">
        <v>46055</v>
      </c>
      <c r="E174" s="4" t="n">
        <v>18</v>
      </c>
      <c r="F174" s="4" t="n">
        <v>23</v>
      </c>
      <c r="G174" s="4" t="n">
        <v>2.5</v>
      </c>
      <c r="H174" s="4" t="n">
        <v>7.6</v>
      </c>
      <c r="I174" s="4" t="n">
        <v>7.6</v>
      </c>
      <c r="J174" s="4" t="n">
        <v>40.7</v>
      </c>
    </row>
    <row r="175" customFormat="false" ht="15" hidden="false" customHeight="false" outlineLevel="0" collapsed="false">
      <c r="A175" s="4" t="s">
        <v>193</v>
      </c>
      <c r="B175" s="4" t="s">
        <v>17</v>
      </c>
      <c r="C175" s="4" t="s">
        <v>18</v>
      </c>
      <c r="D175" s="14" t="n">
        <v>46154</v>
      </c>
      <c r="E175" s="4" t="n">
        <v>16</v>
      </c>
      <c r="F175" s="4" t="n">
        <v>26.3</v>
      </c>
      <c r="G175" s="4" t="n">
        <v>7.8</v>
      </c>
      <c r="H175" s="4" t="n">
        <v>10.9</v>
      </c>
      <c r="I175" s="4" t="n">
        <v>4</v>
      </c>
      <c r="J175" s="4" t="n">
        <v>49</v>
      </c>
    </row>
    <row r="176" customFormat="false" ht="15" hidden="false" customHeight="false" outlineLevel="0" collapsed="false">
      <c r="A176" s="4" t="s">
        <v>194</v>
      </c>
      <c r="B176" s="4" t="s">
        <v>20</v>
      </c>
      <c r="C176" s="4" t="s">
        <v>18</v>
      </c>
      <c r="D176" s="14" t="n">
        <v>46173</v>
      </c>
      <c r="E176" s="4" t="n">
        <v>14</v>
      </c>
      <c r="F176" s="4" t="n">
        <v>26.7</v>
      </c>
      <c r="G176" s="4" t="n">
        <v>7.2</v>
      </c>
      <c r="H176" s="4" t="n">
        <v>7</v>
      </c>
      <c r="I176" s="4" t="n">
        <v>8.7</v>
      </c>
      <c r="J176" s="4" t="n">
        <v>49.6</v>
      </c>
    </row>
    <row r="177" customFormat="false" ht="15" hidden="false" customHeight="false" outlineLevel="0" collapsed="false">
      <c r="A177" s="4" t="s">
        <v>195</v>
      </c>
      <c r="B177" s="4" t="s">
        <v>17</v>
      </c>
      <c r="C177" s="4" t="s">
        <v>35</v>
      </c>
      <c r="D177" s="14" t="n">
        <v>46156</v>
      </c>
      <c r="E177" s="4" t="n">
        <v>15</v>
      </c>
      <c r="F177" s="4" t="n">
        <v>28.7</v>
      </c>
      <c r="G177" s="4" t="n">
        <v>2.4</v>
      </c>
      <c r="H177" s="4" t="n">
        <v>7.3</v>
      </c>
      <c r="I177" s="4" t="n">
        <v>4.6</v>
      </c>
      <c r="J177" s="4" t="n">
        <v>43</v>
      </c>
    </row>
    <row r="178" customFormat="false" ht="15" hidden="false" customHeight="false" outlineLevel="0" collapsed="false">
      <c r="A178" s="4" t="s">
        <v>196</v>
      </c>
      <c r="B178" s="4" t="s">
        <v>17</v>
      </c>
      <c r="C178" s="4" t="s">
        <v>18</v>
      </c>
      <c r="D178" s="14" t="n">
        <v>46044</v>
      </c>
      <c r="E178" s="4" t="n">
        <v>13</v>
      </c>
      <c r="F178" s="4" t="n">
        <v>9.3</v>
      </c>
      <c r="G178" s="4" t="n">
        <v>3</v>
      </c>
      <c r="H178" s="4" t="n">
        <v>9.4</v>
      </c>
      <c r="I178" s="4" t="n">
        <v>7.3</v>
      </c>
      <c r="J178" s="4" t="n">
        <v>29</v>
      </c>
    </row>
    <row r="179" customFormat="false" ht="15" hidden="false" customHeight="false" outlineLevel="0" collapsed="false">
      <c r="A179" s="4" t="s">
        <v>197</v>
      </c>
      <c r="B179" s="4" t="s">
        <v>20</v>
      </c>
      <c r="C179" s="4" t="s">
        <v>18</v>
      </c>
      <c r="D179" s="14" t="n">
        <v>46113</v>
      </c>
      <c r="E179" s="4" t="n">
        <v>19</v>
      </c>
      <c r="F179" s="4" t="n">
        <v>28.3</v>
      </c>
      <c r="G179" s="4" t="n">
        <v>8.8</v>
      </c>
      <c r="H179" s="4" t="n">
        <v>13.8</v>
      </c>
      <c r="I179" s="4" t="n">
        <v>5.3</v>
      </c>
      <c r="J179" s="4" t="n">
        <v>56.2</v>
      </c>
    </row>
    <row r="180" customFormat="false" ht="15" hidden="false" customHeight="false" outlineLevel="0" collapsed="false">
      <c r="A180" s="4" t="s">
        <v>198</v>
      </c>
      <c r="B180" s="4" t="s">
        <v>20</v>
      </c>
      <c r="C180" s="4" t="s">
        <v>18</v>
      </c>
      <c r="D180" s="14" t="n">
        <v>46144</v>
      </c>
      <c r="E180" s="4" t="n">
        <v>8</v>
      </c>
      <c r="F180" s="4" t="n">
        <v>2.3</v>
      </c>
      <c r="G180" s="4" t="n">
        <v>4</v>
      </c>
      <c r="H180" s="4" t="n">
        <v>3.5</v>
      </c>
      <c r="I180" s="4" t="n">
        <v>8.5</v>
      </c>
      <c r="J180" s="4" t="n">
        <v>18.3</v>
      </c>
    </row>
    <row r="181" customFormat="false" ht="15" hidden="false" customHeight="false" outlineLevel="0" collapsed="false">
      <c r="A181" s="4" t="s">
        <v>199</v>
      </c>
      <c r="B181" s="4" t="s">
        <v>17</v>
      </c>
      <c r="C181" s="4" t="s">
        <v>53</v>
      </c>
      <c r="D181" s="14" t="n">
        <v>46166</v>
      </c>
      <c r="E181" s="4" t="n">
        <v>14</v>
      </c>
      <c r="F181" s="4" t="n">
        <v>27.5</v>
      </c>
      <c r="G181" s="4" t="n">
        <v>3.9</v>
      </c>
      <c r="H181" s="4" t="n">
        <v>6.9</v>
      </c>
      <c r="I181" s="4" t="n">
        <v>7.5</v>
      </c>
      <c r="J181" s="4" t="n">
        <v>45.8</v>
      </c>
    </row>
    <row r="182" customFormat="false" ht="15" hidden="false" customHeight="false" outlineLevel="0" collapsed="false">
      <c r="A182" s="4" t="s">
        <v>200</v>
      </c>
      <c r="B182" s="4" t="s">
        <v>24</v>
      </c>
      <c r="C182" s="4" t="s">
        <v>18</v>
      </c>
      <c r="D182" s="14" t="n">
        <v>46058</v>
      </c>
      <c r="E182" s="4" t="n">
        <v>19</v>
      </c>
      <c r="F182" s="4" t="n">
        <v>28.9</v>
      </c>
      <c r="G182" s="4" t="n">
        <v>9.4</v>
      </c>
      <c r="H182" s="4" t="n">
        <v>12.8</v>
      </c>
      <c r="I182" s="4" t="n">
        <v>4.7</v>
      </c>
      <c r="J182" s="4" t="n">
        <v>55.8</v>
      </c>
    </row>
    <row r="183" customFormat="false" ht="15" hidden="false" customHeight="false" outlineLevel="0" collapsed="false">
      <c r="A183" s="4" t="s">
        <v>201</v>
      </c>
      <c r="B183" s="4" t="s">
        <v>24</v>
      </c>
      <c r="C183" s="4" t="s">
        <v>18</v>
      </c>
      <c r="D183" s="14" t="n">
        <v>46154</v>
      </c>
      <c r="E183" s="4" t="n">
        <v>13</v>
      </c>
      <c r="F183" s="4" t="n">
        <v>8.2</v>
      </c>
      <c r="G183" s="4" t="n">
        <v>10</v>
      </c>
      <c r="H183" s="4" t="n">
        <v>11</v>
      </c>
      <c r="I183" s="4" t="n">
        <v>2.6</v>
      </c>
      <c r="J183" s="4" t="n">
        <v>31.8</v>
      </c>
    </row>
    <row r="184" customFormat="false" ht="15" hidden="false" customHeight="false" outlineLevel="0" collapsed="false">
      <c r="A184" s="4" t="s">
        <v>202</v>
      </c>
      <c r="B184" s="4" t="s">
        <v>17</v>
      </c>
      <c r="C184" s="4" t="s">
        <v>35</v>
      </c>
      <c r="D184" s="14" t="n">
        <v>46166</v>
      </c>
      <c r="E184" s="4" t="n">
        <v>12</v>
      </c>
      <c r="F184" s="4" t="n">
        <v>4.6</v>
      </c>
      <c r="G184" s="4" t="n">
        <v>8.6</v>
      </c>
      <c r="H184" s="4" t="n">
        <v>6.4</v>
      </c>
      <c r="I184" s="4" t="n">
        <v>6.2</v>
      </c>
      <c r="J184" s="4" t="n">
        <v>25.8</v>
      </c>
    </row>
    <row r="185" customFormat="false" ht="15" hidden="false" customHeight="false" outlineLevel="0" collapsed="false">
      <c r="A185" s="4" t="s">
        <v>203</v>
      </c>
      <c r="B185" s="4" t="s">
        <v>20</v>
      </c>
      <c r="C185" s="4" t="s">
        <v>18</v>
      </c>
      <c r="D185" s="14" t="n">
        <v>46116</v>
      </c>
      <c r="E185" s="4" t="n">
        <v>14</v>
      </c>
      <c r="F185" s="4" t="n">
        <v>28.7</v>
      </c>
      <c r="G185" s="4" t="n">
        <v>5.5</v>
      </c>
      <c r="H185" s="4" t="n">
        <v>14</v>
      </c>
      <c r="I185" s="4" t="n">
        <v>3.9</v>
      </c>
      <c r="J185" s="4" t="n">
        <v>52.1</v>
      </c>
    </row>
    <row r="186" customFormat="false" ht="15" hidden="false" customHeight="false" outlineLevel="0" collapsed="false">
      <c r="A186" s="4" t="s">
        <v>204</v>
      </c>
      <c r="B186" s="4" t="s">
        <v>24</v>
      </c>
      <c r="C186" s="4" t="s">
        <v>53</v>
      </c>
      <c r="D186" s="14" t="n">
        <v>46046</v>
      </c>
      <c r="E186" s="4" t="n">
        <v>17</v>
      </c>
      <c r="F186" s="4" t="n">
        <v>23.6</v>
      </c>
      <c r="G186" s="4" t="n">
        <v>10</v>
      </c>
      <c r="H186" s="4" t="n">
        <v>10.5</v>
      </c>
      <c r="I186" s="4" t="n">
        <v>8.7</v>
      </c>
      <c r="J186" s="4" t="n">
        <v>52.8</v>
      </c>
    </row>
    <row r="187" customFormat="false" ht="15" hidden="false" customHeight="false" outlineLevel="0" collapsed="false">
      <c r="A187" s="4" t="s">
        <v>205</v>
      </c>
      <c r="B187" s="4" t="s">
        <v>20</v>
      </c>
      <c r="C187" s="4" t="s">
        <v>18</v>
      </c>
      <c r="D187" s="14" t="n">
        <v>46139</v>
      </c>
      <c r="E187" s="4" t="n">
        <v>8</v>
      </c>
      <c r="F187" s="4" t="n">
        <v>3.4</v>
      </c>
      <c r="G187" s="4" t="n">
        <v>8.5</v>
      </c>
      <c r="H187" s="4" t="n">
        <v>7</v>
      </c>
      <c r="I187" s="4" t="n">
        <v>8.6</v>
      </c>
      <c r="J187" s="4" t="n">
        <v>27.5</v>
      </c>
    </row>
    <row r="188" customFormat="false" ht="15" hidden="false" customHeight="false" outlineLevel="0" collapsed="false">
      <c r="A188" s="4" t="s">
        <v>206</v>
      </c>
      <c r="B188" s="4" t="s">
        <v>20</v>
      </c>
      <c r="C188" s="4" t="s">
        <v>18</v>
      </c>
      <c r="D188" s="14" t="n">
        <v>46142</v>
      </c>
      <c r="E188" s="4" t="n">
        <v>20</v>
      </c>
      <c r="F188" s="4" t="n">
        <v>24.4</v>
      </c>
      <c r="G188" s="4" t="n">
        <v>2.8</v>
      </c>
      <c r="H188" s="4" t="n">
        <v>4.5</v>
      </c>
      <c r="I188" s="4" t="n">
        <v>4.6</v>
      </c>
      <c r="J188" s="4" t="n">
        <v>36.3</v>
      </c>
    </row>
    <row r="189" customFormat="false" ht="15" hidden="false" customHeight="false" outlineLevel="0" collapsed="false">
      <c r="A189" s="4" t="s">
        <v>207</v>
      </c>
      <c r="B189" s="4" t="s">
        <v>20</v>
      </c>
      <c r="C189" s="4" t="s">
        <v>18</v>
      </c>
      <c r="D189" s="14" t="n">
        <v>46056</v>
      </c>
      <c r="E189" s="4" t="n">
        <v>7</v>
      </c>
      <c r="F189" s="4" t="n">
        <v>5</v>
      </c>
      <c r="G189" s="4" t="n">
        <v>5.9</v>
      </c>
      <c r="H189" s="4" t="n">
        <v>9.2</v>
      </c>
      <c r="I189" s="4" t="n">
        <v>3.8</v>
      </c>
      <c r="J189" s="4" t="n">
        <v>23.9</v>
      </c>
    </row>
    <row r="190" customFormat="false" ht="15" hidden="false" customHeight="false" outlineLevel="0" collapsed="false">
      <c r="A190" s="4" t="s">
        <v>208</v>
      </c>
      <c r="B190" s="4" t="s">
        <v>20</v>
      </c>
      <c r="C190" s="4" t="s">
        <v>18</v>
      </c>
      <c r="D190" s="14" t="n">
        <v>46183</v>
      </c>
      <c r="E190" s="4" t="n">
        <v>12</v>
      </c>
      <c r="F190" s="4" t="n">
        <v>12</v>
      </c>
      <c r="G190" s="4" t="n">
        <v>4</v>
      </c>
      <c r="H190" s="4" t="n">
        <v>4.5</v>
      </c>
      <c r="I190" s="4" t="n">
        <v>2.5</v>
      </c>
      <c r="J190" s="4" t="n">
        <v>23</v>
      </c>
    </row>
    <row r="191" customFormat="false" ht="15" hidden="false" customHeight="false" outlineLevel="0" collapsed="false">
      <c r="A191" s="4" t="s">
        <v>209</v>
      </c>
      <c r="B191" s="4" t="s">
        <v>20</v>
      </c>
      <c r="C191" s="4" t="s">
        <v>35</v>
      </c>
      <c r="D191" s="14" t="n">
        <v>46049</v>
      </c>
      <c r="E191" s="4" t="n">
        <v>19</v>
      </c>
      <c r="F191" s="4" t="n">
        <v>29.9</v>
      </c>
      <c r="G191" s="4" t="n">
        <v>8.7</v>
      </c>
      <c r="H191" s="4" t="n">
        <v>10.8</v>
      </c>
      <c r="I191" s="4" t="n">
        <v>5.8</v>
      </c>
      <c r="J191" s="4" t="n">
        <v>55.2</v>
      </c>
    </row>
    <row r="192" customFormat="false" ht="15" hidden="false" customHeight="false" outlineLevel="0" collapsed="false">
      <c r="A192" s="4" t="s">
        <v>210</v>
      </c>
      <c r="B192" s="4" t="s">
        <v>20</v>
      </c>
      <c r="C192" s="4" t="s">
        <v>18</v>
      </c>
      <c r="D192" s="14" t="n">
        <v>46067</v>
      </c>
      <c r="E192" s="4" t="n">
        <v>18</v>
      </c>
      <c r="F192" s="4" t="n">
        <v>27</v>
      </c>
      <c r="G192" s="4" t="n">
        <v>3.7</v>
      </c>
      <c r="H192" s="4" t="n">
        <v>7</v>
      </c>
      <c r="I192" s="4" t="n">
        <v>3.6</v>
      </c>
      <c r="J192" s="4" t="n">
        <v>41.3</v>
      </c>
    </row>
    <row r="193" customFormat="false" ht="15" hidden="false" customHeight="false" outlineLevel="0" collapsed="false">
      <c r="A193" s="4" t="s">
        <v>211</v>
      </c>
      <c r="B193" s="4" t="s">
        <v>24</v>
      </c>
      <c r="C193" s="4" t="s">
        <v>35</v>
      </c>
      <c r="D193" s="14" t="n">
        <v>46087</v>
      </c>
      <c r="E193" s="4" t="n">
        <v>18</v>
      </c>
      <c r="F193" s="4" t="n">
        <v>23.6</v>
      </c>
      <c r="G193" s="4" t="n">
        <v>7.7</v>
      </c>
      <c r="H193" s="4" t="n">
        <v>8.1</v>
      </c>
      <c r="I193" s="4" t="n">
        <v>8.9</v>
      </c>
      <c r="J193" s="4" t="n">
        <v>48.3</v>
      </c>
    </row>
    <row r="194" customFormat="false" ht="15" hidden="false" customHeight="false" outlineLevel="0" collapsed="false">
      <c r="A194" s="4" t="s">
        <v>212</v>
      </c>
      <c r="B194" s="4" t="s">
        <v>20</v>
      </c>
      <c r="C194" s="4" t="s">
        <v>35</v>
      </c>
      <c r="D194" s="14" t="n">
        <v>46043</v>
      </c>
      <c r="E194" s="4" t="n">
        <v>13</v>
      </c>
      <c r="F194" s="4" t="n">
        <v>9.8</v>
      </c>
      <c r="G194" s="4" t="n">
        <v>7.3</v>
      </c>
      <c r="H194" s="4" t="n">
        <v>11.5</v>
      </c>
      <c r="I194" s="4" t="n">
        <v>7.8</v>
      </c>
      <c r="J194" s="4" t="n">
        <v>36.4</v>
      </c>
    </row>
    <row r="195" customFormat="false" ht="15" hidden="false" customHeight="false" outlineLevel="0" collapsed="false">
      <c r="A195" s="4" t="s">
        <v>213</v>
      </c>
      <c r="B195" s="4" t="s">
        <v>20</v>
      </c>
      <c r="C195" s="4" t="s">
        <v>53</v>
      </c>
      <c r="D195" s="14" t="n">
        <v>46191</v>
      </c>
      <c r="E195" s="4" t="n">
        <v>9</v>
      </c>
      <c r="F195" s="4" t="n">
        <v>6.1</v>
      </c>
      <c r="G195" s="4" t="n">
        <v>5.4</v>
      </c>
      <c r="H195" s="4" t="n">
        <v>12.7</v>
      </c>
      <c r="I195" s="4" t="n">
        <v>7.5</v>
      </c>
      <c r="J195" s="4" t="n">
        <v>31.7</v>
      </c>
    </row>
    <row r="196" customFormat="false" ht="15" hidden="false" customHeight="false" outlineLevel="0" collapsed="false">
      <c r="A196" s="4" t="s">
        <v>214</v>
      </c>
      <c r="B196" s="4" t="s">
        <v>17</v>
      </c>
      <c r="C196" s="4" t="s">
        <v>18</v>
      </c>
      <c r="D196" s="14" t="n">
        <v>46060</v>
      </c>
      <c r="E196" s="4" t="n">
        <v>14</v>
      </c>
      <c r="F196" s="4" t="n">
        <v>28.7</v>
      </c>
      <c r="G196" s="4" t="n">
        <v>10.3</v>
      </c>
      <c r="H196" s="4" t="n">
        <v>8.7</v>
      </c>
      <c r="I196" s="4" t="n">
        <v>4.1</v>
      </c>
      <c r="J196" s="4" t="n">
        <v>51.8</v>
      </c>
    </row>
    <row r="197" customFormat="false" ht="15" hidden="false" customHeight="false" outlineLevel="0" collapsed="false">
      <c r="A197" s="4" t="s">
        <v>215</v>
      </c>
      <c r="B197" s="4" t="s">
        <v>20</v>
      </c>
      <c r="C197" s="4" t="s">
        <v>53</v>
      </c>
      <c r="D197" s="14" t="n">
        <v>46084</v>
      </c>
      <c r="E197" s="4" t="n">
        <v>13</v>
      </c>
      <c r="F197" s="4" t="n">
        <v>11.2</v>
      </c>
      <c r="G197" s="4" t="n">
        <v>10.5</v>
      </c>
      <c r="H197" s="4" t="n">
        <v>5.8</v>
      </c>
      <c r="I197" s="4" t="n">
        <v>6.4</v>
      </c>
      <c r="J197" s="4" t="n">
        <v>33.9</v>
      </c>
    </row>
    <row r="198" customFormat="false" ht="15" hidden="false" customHeight="false" outlineLevel="0" collapsed="false">
      <c r="A198" s="4" t="s">
        <v>216</v>
      </c>
      <c r="B198" s="4" t="s">
        <v>17</v>
      </c>
      <c r="C198" s="4" t="s">
        <v>18</v>
      </c>
      <c r="D198" s="14" t="n">
        <v>46104</v>
      </c>
      <c r="E198" s="4" t="n">
        <v>16</v>
      </c>
      <c r="F198" s="4" t="n">
        <v>25</v>
      </c>
      <c r="G198" s="4" t="n">
        <v>3.7</v>
      </c>
      <c r="H198" s="4" t="n">
        <v>13.4</v>
      </c>
      <c r="I198" s="4" t="n">
        <v>3.1</v>
      </c>
      <c r="J198" s="4" t="n">
        <v>45.2</v>
      </c>
    </row>
    <row r="199" customFormat="false" ht="15" hidden="false" customHeight="false" outlineLevel="0" collapsed="false">
      <c r="A199" s="4" t="s">
        <v>217</v>
      </c>
      <c r="B199" s="4" t="s">
        <v>17</v>
      </c>
      <c r="C199" s="4" t="s">
        <v>35</v>
      </c>
      <c r="D199" s="14" t="n">
        <v>46181</v>
      </c>
      <c r="E199" s="4" t="n">
        <v>13</v>
      </c>
      <c r="F199" s="4" t="n">
        <v>8.5</v>
      </c>
      <c r="G199" s="4" t="n">
        <v>10.3</v>
      </c>
      <c r="H199" s="4" t="n">
        <v>3.3</v>
      </c>
      <c r="I199" s="4" t="n">
        <v>2.3</v>
      </c>
      <c r="J199" s="4" t="n">
        <v>24.4</v>
      </c>
    </row>
    <row r="200" customFormat="false" ht="15" hidden="false" customHeight="false" outlineLevel="0" collapsed="false">
      <c r="A200" s="4" t="s">
        <v>218</v>
      </c>
      <c r="B200" s="4" t="s">
        <v>17</v>
      </c>
      <c r="C200" s="4" t="s">
        <v>18</v>
      </c>
      <c r="D200" s="14" t="n">
        <v>46193</v>
      </c>
      <c r="E200" s="4" t="n">
        <v>11</v>
      </c>
      <c r="F200" s="4" t="n">
        <v>7.3</v>
      </c>
      <c r="G200" s="4" t="n">
        <v>8.4</v>
      </c>
      <c r="H200" s="4" t="n">
        <v>8.5</v>
      </c>
      <c r="I200" s="4" t="n">
        <v>6.4</v>
      </c>
      <c r="J200" s="4" t="n">
        <v>30.6</v>
      </c>
    </row>
    <row r="201" customFormat="false" ht="15" hidden="false" customHeight="false" outlineLevel="0" collapsed="false">
      <c r="A201" s="4" t="s">
        <v>219</v>
      </c>
      <c r="B201" s="4" t="s">
        <v>20</v>
      </c>
      <c r="C201" s="4" t="s">
        <v>53</v>
      </c>
      <c r="D201" s="14" t="n">
        <v>46150</v>
      </c>
      <c r="E201" s="4" t="n">
        <v>12</v>
      </c>
      <c r="F201" s="4" t="n">
        <v>9.5</v>
      </c>
      <c r="G201" s="4" t="n">
        <v>5</v>
      </c>
      <c r="H201" s="4" t="n">
        <v>3.8</v>
      </c>
      <c r="I201" s="4" t="n">
        <v>2.4</v>
      </c>
      <c r="J201" s="4" t="n">
        <v>20.7</v>
      </c>
    </row>
    <row r="202" customFormat="false" ht="15" hidden="false" customHeight="false" outlineLevel="0" collapsed="false">
      <c r="A202" s="4" t="s">
        <v>220</v>
      </c>
      <c r="B202" s="4" t="s">
        <v>20</v>
      </c>
      <c r="C202" s="4" t="s">
        <v>18</v>
      </c>
      <c r="D202" s="14" t="n">
        <v>46079</v>
      </c>
      <c r="E202" s="4" t="n">
        <v>13</v>
      </c>
      <c r="F202" s="4" t="n">
        <v>6.5</v>
      </c>
      <c r="G202" s="4" t="n">
        <v>9.2</v>
      </c>
      <c r="H202" s="4" t="n">
        <v>11.1</v>
      </c>
      <c r="I202" s="4" t="n">
        <v>8</v>
      </c>
      <c r="J202" s="4" t="n">
        <v>34.8</v>
      </c>
    </row>
    <row r="203" customFormat="false" ht="15" hidden="false" customHeight="false" outlineLevel="0" collapsed="false">
      <c r="A203" s="4" t="s">
        <v>221</v>
      </c>
      <c r="B203" s="4" t="s">
        <v>24</v>
      </c>
      <c r="C203" s="4" t="s">
        <v>18</v>
      </c>
      <c r="D203" s="14" t="n">
        <v>46121</v>
      </c>
      <c r="E203" s="4" t="n">
        <v>15</v>
      </c>
      <c r="F203" s="4" t="n">
        <v>23.2</v>
      </c>
      <c r="G203" s="4" t="n">
        <v>6.7</v>
      </c>
      <c r="H203" s="4" t="n">
        <v>5.9</v>
      </c>
      <c r="I203" s="4" t="n">
        <v>3.7</v>
      </c>
      <c r="J203" s="4" t="n">
        <v>39.5</v>
      </c>
    </row>
    <row r="204" customFormat="false" ht="15" hidden="false" customHeight="false" outlineLevel="0" collapsed="false">
      <c r="A204" s="4" t="s">
        <v>222</v>
      </c>
      <c r="B204" s="4" t="s">
        <v>20</v>
      </c>
      <c r="C204" s="4" t="s">
        <v>18</v>
      </c>
      <c r="D204" s="14" t="n">
        <v>46125</v>
      </c>
      <c r="E204" s="4" t="n">
        <v>19</v>
      </c>
      <c r="F204" s="4" t="n">
        <v>22.5</v>
      </c>
      <c r="G204" s="4" t="n">
        <v>10.7</v>
      </c>
      <c r="H204" s="4" t="n">
        <v>4.8</v>
      </c>
      <c r="I204" s="4" t="n">
        <v>4.3</v>
      </c>
      <c r="J204" s="4" t="n">
        <v>42.3</v>
      </c>
    </row>
    <row r="205" customFormat="false" ht="15" hidden="false" customHeight="false" outlineLevel="0" collapsed="false">
      <c r="A205" s="4" t="s">
        <v>223</v>
      </c>
      <c r="B205" s="4" t="s">
        <v>17</v>
      </c>
      <c r="C205" s="4" t="s">
        <v>18</v>
      </c>
      <c r="D205" s="14" t="n">
        <v>46067</v>
      </c>
      <c r="E205" s="4" t="n">
        <v>15</v>
      </c>
      <c r="F205" s="4" t="n">
        <v>24.7</v>
      </c>
      <c r="G205" s="4" t="n">
        <v>10.8</v>
      </c>
      <c r="H205" s="4" t="n">
        <v>8.5</v>
      </c>
      <c r="I205" s="4" t="n">
        <v>2.6</v>
      </c>
      <c r="J205" s="4" t="n">
        <v>46.6</v>
      </c>
    </row>
    <row r="206" customFormat="false" ht="15" hidden="false" customHeight="false" outlineLevel="0" collapsed="false">
      <c r="A206" s="4" t="s">
        <v>224</v>
      </c>
      <c r="B206" s="4" t="s">
        <v>20</v>
      </c>
      <c r="C206" s="4" t="s">
        <v>18</v>
      </c>
      <c r="D206" s="14" t="n">
        <v>46088</v>
      </c>
      <c r="E206" s="4" t="n">
        <v>11</v>
      </c>
      <c r="F206" s="4" t="n">
        <v>4.4</v>
      </c>
      <c r="G206" s="4" t="n">
        <v>4.8</v>
      </c>
      <c r="H206" s="4" t="n">
        <v>9.6</v>
      </c>
      <c r="I206" s="4" t="n">
        <v>7.9</v>
      </c>
      <c r="J206" s="4" t="n">
        <v>26.7</v>
      </c>
    </row>
    <row r="207" customFormat="false" ht="15" hidden="false" customHeight="false" outlineLevel="0" collapsed="false">
      <c r="A207" s="4" t="s">
        <v>225</v>
      </c>
      <c r="B207" s="4" t="s">
        <v>17</v>
      </c>
      <c r="C207" s="4" t="s">
        <v>18</v>
      </c>
      <c r="D207" s="14" t="n">
        <v>46029</v>
      </c>
      <c r="E207" s="4" t="n">
        <v>19</v>
      </c>
      <c r="F207" s="4" t="n">
        <v>21.3</v>
      </c>
      <c r="G207" s="4" t="n">
        <v>4.6</v>
      </c>
      <c r="H207" s="4" t="n">
        <v>7</v>
      </c>
      <c r="I207" s="4" t="n">
        <v>4.8</v>
      </c>
      <c r="J207" s="4" t="n">
        <v>37.7</v>
      </c>
    </row>
    <row r="208" customFormat="false" ht="15" hidden="false" customHeight="false" outlineLevel="0" collapsed="false">
      <c r="A208" s="4" t="s">
        <v>226</v>
      </c>
      <c r="B208" s="4" t="s">
        <v>20</v>
      </c>
      <c r="C208" s="4" t="s">
        <v>18</v>
      </c>
      <c r="D208" s="14" t="n">
        <v>46170</v>
      </c>
      <c r="E208" s="4" t="n">
        <v>11</v>
      </c>
      <c r="F208" s="4" t="n">
        <v>6.3</v>
      </c>
      <c r="G208" s="4" t="n">
        <v>5.9</v>
      </c>
      <c r="H208" s="4" t="n">
        <v>8</v>
      </c>
      <c r="I208" s="4" t="n">
        <v>5.8</v>
      </c>
      <c r="J208" s="4" t="n">
        <v>26</v>
      </c>
    </row>
    <row r="209" customFormat="false" ht="15" hidden="false" customHeight="false" outlineLevel="0" collapsed="false">
      <c r="A209" s="4" t="s">
        <v>227</v>
      </c>
      <c r="B209" s="4" t="s">
        <v>24</v>
      </c>
      <c r="C209" s="4" t="s">
        <v>18</v>
      </c>
      <c r="D209" s="14" t="n">
        <v>46183</v>
      </c>
      <c r="E209" s="4" t="n">
        <v>10</v>
      </c>
      <c r="F209" s="4" t="n">
        <v>7.2</v>
      </c>
      <c r="G209" s="4" t="n">
        <v>9.9</v>
      </c>
      <c r="H209" s="4" t="n">
        <v>6.7</v>
      </c>
      <c r="I209" s="4" t="n">
        <v>8.6</v>
      </c>
      <c r="J209" s="4" t="n">
        <v>32.4</v>
      </c>
    </row>
    <row r="210" customFormat="false" ht="15" hidden="false" customHeight="false" outlineLevel="0" collapsed="false">
      <c r="A210" s="4" t="s">
        <v>228</v>
      </c>
      <c r="B210" s="4" t="s">
        <v>24</v>
      </c>
      <c r="C210" s="4" t="s">
        <v>18</v>
      </c>
      <c r="D210" s="14" t="n">
        <v>46157</v>
      </c>
      <c r="E210" s="4" t="n">
        <v>14</v>
      </c>
      <c r="F210" s="4" t="n">
        <v>20.5</v>
      </c>
      <c r="G210" s="4" t="n">
        <v>3.4</v>
      </c>
      <c r="H210" s="4" t="n">
        <v>6.7</v>
      </c>
      <c r="I210" s="4" t="n">
        <v>5.3</v>
      </c>
      <c r="J210" s="4" t="n">
        <v>35.9</v>
      </c>
    </row>
    <row r="211" customFormat="false" ht="15" hidden="false" customHeight="false" outlineLevel="0" collapsed="false">
      <c r="A211" s="4" t="s">
        <v>229</v>
      </c>
      <c r="B211" s="4" t="s">
        <v>17</v>
      </c>
      <c r="C211" s="4" t="s">
        <v>18</v>
      </c>
      <c r="D211" s="14" t="n">
        <v>46158</v>
      </c>
      <c r="E211" s="4" t="n">
        <v>10</v>
      </c>
      <c r="F211" s="4" t="n">
        <v>8.9</v>
      </c>
      <c r="G211" s="4" t="n">
        <v>3.6</v>
      </c>
      <c r="H211" s="4" t="n">
        <v>13.9</v>
      </c>
      <c r="I211" s="4" t="n">
        <v>7.2</v>
      </c>
      <c r="J211" s="4" t="n">
        <v>33.6</v>
      </c>
    </row>
    <row r="212" customFormat="false" ht="15" hidden="false" customHeight="false" outlineLevel="0" collapsed="false">
      <c r="A212" s="4" t="s">
        <v>230</v>
      </c>
      <c r="B212" s="4" t="s">
        <v>20</v>
      </c>
      <c r="C212" s="4" t="s">
        <v>18</v>
      </c>
      <c r="D212" s="14" t="n">
        <v>46157</v>
      </c>
      <c r="E212" s="4" t="n">
        <v>15</v>
      </c>
      <c r="F212" s="4" t="n">
        <v>25.6</v>
      </c>
      <c r="G212" s="4" t="n">
        <v>6.7</v>
      </c>
      <c r="H212" s="4" t="n">
        <v>3.2</v>
      </c>
      <c r="I212" s="4" t="n">
        <v>4.3</v>
      </c>
      <c r="J212" s="4" t="n">
        <v>39.8</v>
      </c>
    </row>
    <row r="213" customFormat="false" ht="15" hidden="false" customHeight="false" outlineLevel="0" collapsed="false">
      <c r="A213" s="4" t="s">
        <v>231</v>
      </c>
      <c r="B213" s="4" t="s">
        <v>20</v>
      </c>
      <c r="C213" s="4" t="s">
        <v>18</v>
      </c>
      <c r="D213" s="14" t="n">
        <v>46105</v>
      </c>
      <c r="E213" s="4" t="n">
        <v>19</v>
      </c>
      <c r="F213" s="4" t="n">
        <v>28.7</v>
      </c>
      <c r="G213" s="4" t="n">
        <v>8.3</v>
      </c>
      <c r="H213" s="4" t="n">
        <v>9.6</v>
      </c>
      <c r="I213" s="4" t="n">
        <v>3.9</v>
      </c>
      <c r="J213" s="4" t="n">
        <v>50.5</v>
      </c>
    </row>
    <row r="214" customFormat="false" ht="15" hidden="false" customHeight="false" outlineLevel="0" collapsed="false">
      <c r="A214" s="4" t="s">
        <v>232</v>
      </c>
      <c r="B214" s="4" t="s">
        <v>17</v>
      </c>
      <c r="C214" s="4" t="s">
        <v>53</v>
      </c>
      <c r="D214" s="14" t="n">
        <v>46175</v>
      </c>
      <c r="E214" s="4" t="n">
        <v>16</v>
      </c>
      <c r="F214" s="4" t="n">
        <v>20.5</v>
      </c>
      <c r="G214" s="4" t="n">
        <v>6.8</v>
      </c>
      <c r="H214" s="4" t="n">
        <v>8.8</v>
      </c>
      <c r="I214" s="4" t="n">
        <v>7</v>
      </c>
      <c r="J214" s="4" t="n">
        <v>43.1</v>
      </c>
    </row>
    <row r="215" customFormat="false" ht="15" hidden="false" customHeight="false" outlineLevel="0" collapsed="false">
      <c r="A215" s="4" t="s">
        <v>233</v>
      </c>
      <c r="B215" s="4" t="s">
        <v>24</v>
      </c>
      <c r="C215" s="4" t="s">
        <v>18</v>
      </c>
      <c r="D215" s="14" t="n">
        <v>46201</v>
      </c>
      <c r="E215" s="4" t="n">
        <v>12</v>
      </c>
      <c r="F215" s="4" t="n">
        <v>11.6</v>
      </c>
      <c r="G215" s="4" t="n">
        <v>3.1</v>
      </c>
      <c r="H215" s="4" t="n">
        <v>3.2</v>
      </c>
      <c r="I215" s="4" t="n">
        <v>4.2</v>
      </c>
      <c r="J215" s="4" t="n">
        <v>22.1</v>
      </c>
    </row>
    <row r="216" customFormat="false" ht="15" hidden="false" customHeight="false" outlineLevel="0" collapsed="false">
      <c r="A216" s="4" t="s">
        <v>234</v>
      </c>
      <c r="B216" s="4" t="s">
        <v>20</v>
      </c>
      <c r="C216" s="4" t="s">
        <v>18</v>
      </c>
      <c r="D216" s="14" t="n">
        <v>46132</v>
      </c>
      <c r="E216" s="4" t="n">
        <v>15</v>
      </c>
      <c r="F216" s="4" t="n">
        <v>29.2</v>
      </c>
      <c r="G216" s="4" t="n">
        <v>10.7</v>
      </c>
      <c r="H216" s="4" t="n">
        <v>11.1</v>
      </c>
      <c r="I216" s="4" t="n">
        <v>2.4</v>
      </c>
      <c r="J216" s="4" t="n">
        <v>53.4</v>
      </c>
    </row>
    <row r="217" customFormat="false" ht="15" hidden="false" customHeight="false" outlineLevel="0" collapsed="false">
      <c r="A217" s="4" t="s">
        <v>235</v>
      </c>
      <c r="B217" s="4" t="s">
        <v>20</v>
      </c>
      <c r="C217" s="4" t="s">
        <v>18</v>
      </c>
      <c r="D217" s="14" t="n">
        <v>46110</v>
      </c>
      <c r="E217" s="4" t="n">
        <v>21</v>
      </c>
      <c r="F217" s="4" t="n">
        <v>25.3</v>
      </c>
      <c r="G217" s="4" t="n">
        <v>5.1</v>
      </c>
      <c r="H217" s="4" t="n">
        <v>4.9</v>
      </c>
      <c r="I217" s="4" t="n">
        <v>8.4</v>
      </c>
      <c r="J217" s="4" t="n">
        <v>43.7</v>
      </c>
    </row>
    <row r="218" customFormat="false" ht="15" hidden="false" customHeight="false" outlineLevel="0" collapsed="false">
      <c r="A218" s="4" t="s">
        <v>236</v>
      </c>
      <c r="B218" s="4" t="s">
        <v>20</v>
      </c>
      <c r="C218" s="4" t="s">
        <v>18</v>
      </c>
      <c r="D218" s="14" t="n">
        <v>46201</v>
      </c>
      <c r="E218" s="4" t="n">
        <v>16</v>
      </c>
      <c r="F218" s="4" t="n">
        <v>22.6</v>
      </c>
      <c r="G218" s="4" t="n">
        <v>6.8</v>
      </c>
      <c r="H218" s="4" t="n">
        <v>13.5</v>
      </c>
      <c r="I218" s="4" t="n">
        <v>4</v>
      </c>
      <c r="J218" s="4" t="n">
        <v>46.9</v>
      </c>
    </row>
    <row r="219" customFormat="false" ht="15" hidden="false" customHeight="false" outlineLevel="0" collapsed="false">
      <c r="A219" s="4" t="s">
        <v>237</v>
      </c>
      <c r="B219" s="4" t="s">
        <v>20</v>
      </c>
      <c r="C219" s="4" t="s">
        <v>53</v>
      </c>
      <c r="D219" s="14" t="n">
        <v>46103</v>
      </c>
      <c r="E219" s="4" t="n">
        <v>18</v>
      </c>
      <c r="F219" s="4" t="n">
        <v>22.1</v>
      </c>
      <c r="G219" s="4" t="n">
        <v>9</v>
      </c>
      <c r="H219" s="4" t="n">
        <v>6.5</v>
      </c>
      <c r="I219" s="4" t="n">
        <v>4.4</v>
      </c>
      <c r="J219" s="4" t="n">
        <v>42</v>
      </c>
    </row>
    <row r="220" customFormat="false" ht="15" hidden="false" customHeight="false" outlineLevel="0" collapsed="false">
      <c r="A220" s="4" t="s">
        <v>238</v>
      </c>
      <c r="B220" s="4" t="s">
        <v>24</v>
      </c>
      <c r="C220" s="4" t="s">
        <v>35</v>
      </c>
      <c r="D220" s="14" t="n">
        <v>46097</v>
      </c>
      <c r="E220" s="4" t="n">
        <v>12</v>
      </c>
      <c r="F220" s="4" t="n">
        <v>9.4</v>
      </c>
      <c r="G220" s="4" t="n">
        <v>5.8</v>
      </c>
      <c r="H220" s="4" t="n">
        <v>13.8</v>
      </c>
      <c r="I220" s="4" t="n">
        <v>7.7</v>
      </c>
      <c r="J220" s="4" t="n">
        <v>36.7</v>
      </c>
    </row>
    <row r="221" customFormat="false" ht="15" hidden="false" customHeight="false" outlineLevel="0" collapsed="false">
      <c r="A221" s="4" t="s">
        <v>239</v>
      </c>
      <c r="B221" s="4" t="s">
        <v>24</v>
      </c>
      <c r="C221" s="4" t="s">
        <v>35</v>
      </c>
      <c r="D221" s="14" t="n">
        <v>46101</v>
      </c>
      <c r="E221" s="4" t="n">
        <v>8</v>
      </c>
      <c r="F221" s="4" t="n">
        <v>2.5</v>
      </c>
      <c r="G221" s="4" t="n">
        <v>11.2</v>
      </c>
      <c r="H221" s="4" t="n">
        <v>10.2</v>
      </c>
      <c r="I221" s="4" t="n">
        <v>7.2</v>
      </c>
      <c r="J221" s="4" t="n">
        <v>31.1</v>
      </c>
    </row>
    <row r="222" customFormat="false" ht="15" hidden="false" customHeight="false" outlineLevel="0" collapsed="false">
      <c r="A222" s="4" t="s">
        <v>240</v>
      </c>
      <c r="B222" s="4" t="s">
        <v>20</v>
      </c>
      <c r="C222" s="4" t="s">
        <v>35</v>
      </c>
      <c r="D222" s="14" t="n">
        <v>46096</v>
      </c>
      <c r="E222" s="4" t="n">
        <v>20</v>
      </c>
      <c r="F222" s="4" t="n">
        <v>22.7</v>
      </c>
      <c r="G222" s="4" t="n">
        <v>3.1</v>
      </c>
      <c r="H222" s="4" t="n">
        <v>11.1</v>
      </c>
      <c r="I222" s="4" t="n">
        <v>3.7</v>
      </c>
      <c r="J222" s="4" t="n">
        <v>40.6</v>
      </c>
    </row>
    <row r="223" customFormat="false" ht="15" hidden="false" customHeight="false" outlineLevel="0" collapsed="false">
      <c r="A223" s="4" t="s">
        <v>241</v>
      </c>
      <c r="B223" s="4" t="s">
        <v>20</v>
      </c>
      <c r="C223" s="4" t="s">
        <v>53</v>
      </c>
      <c r="D223" s="14" t="n">
        <v>46084</v>
      </c>
      <c r="E223" s="4" t="n">
        <v>16</v>
      </c>
      <c r="F223" s="4" t="n">
        <v>21</v>
      </c>
      <c r="G223" s="4" t="n">
        <v>5.3</v>
      </c>
      <c r="H223" s="4" t="n">
        <v>8.2</v>
      </c>
      <c r="I223" s="4" t="n">
        <v>6.8</v>
      </c>
      <c r="J223" s="4" t="n">
        <v>41.3</v>
      </c>
    </row>
    <row r="224" customFormat="false" ht="15" hidden="false" customHeight="false" outlineLevel="0" collapsed="false">
      <c r="A224" s="4" t="s">
        <v>242</v>
      </c>
      <c r="B224" s="4" t="s">
        <v>20</v>
      </c>
      <c r="C224" s="4" t="s">
        <v>53</v>
      </c>
      <c r="D224" s="14" t="n">
        <v>46067</v>
      </c>
      <c r="E224" s="4" t="n">
        <v>14</v>
      </c>
      <c r="F224" s="4" t="n">
        <v>28.8</v>
      </c>
      <c r="G224" s="4" t="n">
        <v>6.8</v>
      </c>
      <c r="H224" s="4" t="n">
        <v>10.2</v>
      </c>
      <c r="I224" s="4" t="n">
        <v>7.3</v>
      </c>
      <c r="J224" s="4" t="n">
        <v>53.1</v>
      </c>
    </row>
    <row r="225" customFormat="false" ht="15" hidden="false" customHeight="false" outlineLevel="0" collapsed="false">
      <c r="A225" s="4" t="s">
        <v>243</v>
      </c>
      <c r="B225" s="4" t="s">
        <v>20</v>
      </c>
      <c r="C225" s="4" t="s">
        <v>18</v>
      </c>
      <c r="D225" s="14" t="n">
        <v>46042</v>
      </c>
      <c r="E225" s="4" t="n">
        <v>20</v>
      </c>
      <c r="F225" s="4" t="n">
        <v>26.5</v>
      </c>
      <c r="G225" s="4" t="n">
        <v>4.3</v>
      </c>
      <c r="H225" s="4" t="n">
        <v>11.1</v>
      </c>
      <c r="I225" s="4" t="n">
        <v>8</v>
      </c>
      <c r="J225" s="4" t="n">
        <v>49.9</v>
      </c>
    </row>
    <row r="226" customFormat="false" ht="15" hidden="false" customHeight="false" outlineLevel="0" collapsed="false">
      <c r="A226" s="4" t="s">
        <v>244</v>
      </c>
      <c r="B226" s="4" t="s">
        <v>20</v>
      </c>
      <c r="C226" s="4" t="s">
        <v>53</v>
      </c>
      <c r="D226" s="14" t="n">
        <v>46133</v>
      </c>
      <c r="E226" s="4" t="n">
        <v>19</v>
      </c>
      <c r="F226" s="4" t="n">
        <v>29.3</v>
      </c>
      <c r="G226" s="4" t="n">
        <v>2.4</v>
      </c>
      <c r="H226" s="4" t="n">
        <v>12.2</v>
      </c>
      <c r="I226" s="4" t="n">
        <v>7.5</v>
      </c>
      <c r="J226" s="4" t="n">
        <v>51.4</v>
      </c>
    </row>
    <row r="227" customFormat="false" ht="15" hidden="false" customHeight="false" outlineLevel="0" collapsed="false">
      <c r="A227" s="4" t="s">
        <v>245</v>
      </c>
      <c r="B227" s="4" t="s">
        <v>20</v>
      </c>
      <c r="C227" s="4" t="s">
        <v>35</v>
      </c>
      <c r="D227" s="14" t="n">
        <v>46101</v>
      </c>
      <c r="E227" s="4" t="n">
        <v>19</v>
      </c>
      <c r="F227" s="4" t="n">
        <v>23</v>
      </c>
      <c r="G227" s="4" t="n">
        <v>8</v>
      </c>
      <c r="H227" s="4" t="n">
        <v>13.2</v>
      </c>
      <c r="I227" s="4" t="n">
        <v>4.3</v>
      </c>
      <c r="J227" s="4" t="n">
        <v>48.5</v>
      </c>
    </row>
    <row r="228" customFormat="false" ht="15" hidden="false" customHeight="false" outlineLevel="0" collapsed="false">
      <c r="A228" s="4" t="s">
        <v>246</v>
      </c>
      <c r="B228" s="4" t="s">
        <v>17</v>
      </c>
      <c r="C228" s="4" t="s">
        <v>18</v>
      </c>
      <c r="D228" s="14" t="n">
        <v>46161</v>
      </c>
      <c r="E228" s="4" t="n">
        <v>15</v>
      </c>
      <c r="F228" s="4" t="n">
        <v>28.5</v>
      </c>
      <c r="G228" s="4" t="n">
        <v>6.7</v>
      </c>
      <c r="H228" s="4" t="n">
        <v>5.1</v>
      </c>
      <c r="I228" s="4" t="n">
        <v>2.8</v>
      </c>
      <c r="J228" s="4" t="n">
        <v>43.1</v>
      </c>
    </row>
    <row r="229" customFormat="false" ht="15" hidden="false" customHeight="false" outlineLevel="0" collapsed="false">
      <c r="A229" s="4" t="s">
        <v>247</v>
      </c>
      <c r="B229" s="4" t="s">
        <v>20</v>
      </c>
      <c r="C229" s="4" t="s">
        <v>18</v>
      </c>
      <c r="D229" s="14" t="n">
        <v>46092</v>
      </c>
      <c r="E229" s="4" t="n">
        <v>18</v>
      </c>
      <c r="F229" s="4" t="n">
        <v>27.4</v>
      </c>
      <c r="G229" s="4" t="n">
        <v>9.9</v>
      </c>
      <c r="H229" s="4" t="n">
        <v>9.2</v>
      </c>
      <c r="I229" s="4" t="n">
        <v>7.3</v>
      </c>
      <c r="J229" s="4" t="n">
        <v>53.8</v>
      </c>
    </row>
    <row r="230" customFormat="false" ht="15" hidden="false" customHeight="false" outlineLevel="0" collapsed="false">
      <c r="A230" s="4" t="s">
        <v>248</v>
      </c>
      <c r="B230" s="4" t="s">
        <v>20</v>
      </c>
      <c r="C230" s="4" t="s">
        <v>35</v>
      </c>
      <c r="D230" s="14" t="n">
        <v>46130</v>
      </c>
      <c r="E230" s="4" t="n">
        <v>19</v>
      </c>
      <c r="F230" s="4" t="n">
        <v>23.3</v>
      </c>
      <c r="G230" s="4" t="n">
        <v>6</v>
      </c>
      <c r="H230" s="4" t="n">
        <v>4</v>
      </c>
      <c r="I230" s="4" t="n">
        <v>8.9</v>
      </c>
      <c r="J230" s="4" t="n">
        <v>42.2</v>
      </c>
    </row>
    <row r="231" customFormat="false" ht="15" hidden="false" customHeight="false" outlineLevel="0" collapsed="false">
      <c r="A231" s="4" t="s">
        <v>249</v>
      </c>
      <c r="B231" s="4" t="s">
        <v>17</v>
      </c>
      <c r="C231" s="4" t="s">
        <v>53</v>
      </c>
      <c r="D231" s="14" t="n">
        <v>46028</v>
      </c>
      <c r="E231" s="4" t="n">
        <v>12</v>
      </c>
      <c r="F231" s="4" t="n">
        <v>7.6</v>
      </c>
      <c r="G231" s="4" t="n">
        <v>4.7</v>
      </c>
      <c r="H231" s="4" t="n">
        <v>6.6</v>
      </c>
      <c r="I231" s="4" t="n">
        <v>6.1</v>
      </c>
      <c r="J231" s="4" t="n">
        <v>25</v>
      </c>
    </row>
    <row r="232" customFormat="false" ht="15" hidden="false" customHeight="false" outlineLevel="0" collapsed="false">
      <c r="A232" s="4" t="s">
        <v>250</v>
      </c>
      <c r="B232" s="4" t="s">
        <v>17</v>
      </c>
      <c r="C232" s="4" t="s">
        <v>18</v>
      </c>
      <c r="D232" s="14" t="n">
        <v>46119</v>
      </c>
      <c r="E232" s="4" t="n">
        <v>17</v>
      </c>
      <c r="F232" s="4" t="n">
        <v>26.7</v>
      </c>
      <c r="G232" s="4" t="n">
        <v>6.7</v>
      </c>
      <c r="H232" s="4" t="n">
        <v>4.8</v>
      </c>
      <c r="I232" s="4" t="n">
        <v>6.8</v>
      </c>
      <c r="J232" s="4" t="n">
        <v>45</v>
      </c>
    </row>
    <row r="233" customFormat="false" ht="15" hidden="false" customHeight="false" outlineLevel="0" collapsed="false">
      <c r="A233" s="4" t="s">
        <v>251</v>
      </c>
      <c r="B233" s="4" t="s">
        <v>24</v>
      </c>
      <c r="C233" s="4" t="s">
        <v>35</v>
      </c>
      <c r="D233" s="14" t="n">
        <v>46106</v>
      </c>
      <c r="E233" s="4" t="n">
        <v>17</v>
      </c>
      <c r="F233" s="4" t="n">
        <v>29.2</v>
      </c>
      <c r="G233" s="4" t="n">
        <v>5</v>
      </c>
      <c r="H233" s="4" t="n">
        <v>9.8</v>
      </c>
      <c r="I233" s="4" t="n">
        <v>3.5</v>
      </c>
      <c r="J233" s="4" t="n">
        <v>47.5</v>
      </c>
    </row>
    <row r="234" customFormat="false" ht="15" hidden="false" customHeight="false" outlineLevel="0" collapsed="false">
      <c r="A234" s="4" t="s">
        <v>252</v>
      </c>
      <c r="B234" s="4" t="s">
        <v>20</v>
      </c>
      <c r="C234" s="4" t="s">
        <v>18</v>
      </c>
      <c r="D234" s="14" t="n">
        <v>46182</v>
      </c>
      <c r="E234" s="4" t="n">
        <v>13</v>
      </c>
      <c r="F234" s="4" t="n">
        <v>8.4</v>
      </c>
      <c r="G234" s="4" t="n">
        <v>6.7</v>
      </c>
      <c r="H234" s="4" t="n">
        <v>8.9</v>
      </c>
      <c r="I234" s="4" t="n">
        <v>6.6</v>
      </c>
      <c r="J234" s="4" t="n">
        <v>30.6</v>
      </c>
    </row>
    <row r="235" customFormat="false" ht="15" hidden="false" customHeight="false" outlineLevel="0" collapsed="false">
      <c r="A235" s="4" t="s">
        <v>253</v>
      </c>
      <c r="B235" s="4" t="s">
        <v>20</v>
      </c>
      <c r="C235" s="4" t="s">
        <v>18</v>
      </c>
      <c r="D235" s="14" t="n">
        <v>46179</v>
      </c>
      <c r="E235" s="4" t="n">
        <v>19</v>
      </c>
      <c r="F235" s="4" t="n">
        <v>25.3</v>
      </c>
      <c r="G235" s="4" t="n">
        <v>7.3</v>
      </c>
      <c r="H235" s="4" t="n">
        <v>7</v>
      </c>
      <c r="I235" s="4" t="n">
        <v>8.4</v>
      </c>
      <c r="J235" s="4" t="n">
        <v>48</v>
      </c>
    </row>
    <row r="236" customFormat="false" ht="15" hidden="false" customHeight="false" outlineLevel="0" collapsed="false">
      <c r="A236" s="4" t="s">
        <v>254</v>
      </c>
      <c r="B236" s="4" t="s">
        <v>20</v>
      </c>
      <c r="C236" s="4" t="s">
        <v>35</v>
      </c>
      <c r="D236" s="14" t="n">
        <v>46156</v>
      </c>
      <c r="E236" s="4" t="n">
        <v>11</v>
      </c>
      <c r="F236" s="4" t="n">
        <v>5.2</v>
      </c>
      <c r="G236" s="4" t="n">
        <v>5.3</v>
      </c>
      <c r="H236" s="4" t="n">
        <v>8.7</v>
      </c>
      <c r="I236" s="4" t="n">
        <v>2.8</v>
      </c>
      <c r="J236" s="4" t="n">
        <v>22</v>
      </c>
    </row>
    <row r="237" customFormat="false" ht="15" hidden="false" customHeight="false" outlineLevel="0" collapsed="false">
      <c r="A237" s="4" t="s">
        <v>255</v>
      </c>
      <c r="B237" s="4" t="s">
        <v>20</v>
      </c>
      <c r="C237" s="4" t="s">
        <v>18</v>
      </c>
      <c r="D237" s="14" t="n">
        <v>46050</v>
      </c>
      <c r="E237" s="4" t="n">
        <v>20</v>
      </c>
      <c r="F237" s="4" t="n">
        <v>28.1</v>
      </c>
      <c r="G237" s="4" t="n">
        <v>6.5</v>
      </c>
      <c r="H237" s="4" t="n">
        <v>8.6</v>
      </c>
      <c r="I237" s="4" t="n">
        <v>5.2</v>
      </c>
      <c r="J237" s="4" t="n">
        <v>48.4</v>
      </c>
    </row>
    <row r="238" customFormat="false" ht="15" hidden="false" customHeight="false" outlineLevel="0" collapsed="false">
      <c r="A238" s="4" t="s">
        <v>256</v>
      </c>
      <c r="B238" s="4" t="s">
        <v>20</v>
      </c>
      <c r="C238" s="4" t="s">
        <v>18</v>
      </c>
      <c r="D238" s="14" t="n">
        <v>46105</v>
      </c>
      <c r="E238" s="4" t="n">
        <v>18</v>
      </c>
      <c r="F238" s="4" t="n">
        <v>22.5</v>
      </c>
      <c r="G238" s="4" t="n">
        <v>2</v>
      </c>
      <c r="H238" s="4" t="n">
        <v>5.4</v>
      </c>
      <c r="I238" s="4" t="n">
        <v>2.5</v>
      </c>
      <c r="J238" s="4" t="n">
        <v>32.4</v>
      </c>
    </row>
    <row r="239" customFormat="false" ht="15" hidden="false" customHeight="false" outlineLevel="0" collapsed="false">
      <c r="A239" s="4" t="s">
        <v>257</v>
      </c>
      <c r="B239" s="4" t="s">
        <v>20</v>
      </c>
      <c r="C239" s="4" t="s">
        <v>35</v>
      </c>
      <c r="D239" s="14" t="n">
        <v>46165</v>
      </c>
      <c r="E239" s="4" t="n">
        <v>21</v>
      </c>
      <c r="F239" s="4" t="n">
        <v>28.9</v>
      </c>
      <c r="G239" s="4" t="n">
        <v>11.9</v>
      </c>
      <c r="H239" s="4" t="n">
        <v>8.2</v>
      </c>
      <c r="I239" s="4" t="n">
        <v>4</v>
      </c>
      <c r="J239" s="4" t="n">
        <v>53</v>
      </c>
    </row>
    <row r="240" customFormat="false" ht="15" hidden="false" customHeight="false" outlineLevel="0" collapsed="false">
      <c r="A240" s="4" t="s">
        <v>258</v>
      </c>
      <c r="B240" s="4" t="s">
        <v>20</v>
      </c>
      <c r="C240" s="4" t="s">
        <v>18</v>
      </c>
      <c r="D240" s="14" t="n">
        <v>46191</v>
      </c>
      <c r="E240" s="4" t="n">
        <v>21</v>
      </c>
      <c r="F240" s="4" t="n">
        <v>29.6</v>
      </c>
      <c r="G240" s="4" t="n">
        <v>5.7</v>
      </c>
      <c r="H240" s="4" t="n">
        <v>12.8</v>
      </c>
      <c r="I240" s="4" t="n">
        <v>5.1</v>
      </c>
      <c r="J240" s="4" t="n">
        <v>53.2</v>
      </c>
    </row>
    <row r="241" customFormat="false" ht="15" hidden="false" customHeight="false" outlineLevel="0" collapsed="false">
      <c r="A241" s="4" t="s">
        <v>259</v>
      </c>
      <c r="B241" s="4" t="s">
        <v>24</v>
      </c>
      <c r="C241" s="4" t="s">
        <v>18</v>
      </c>
      <c r="D241" s="14" t="n">
        <v>46047</v>
      </c>
      <c r="E241" s="4" t="n">
        <v>17</v>
      </c>
      <c r="F241" s="4" t="n">
        <v>28.7</v>
      </c>
      <c r="G241" s="4" t="n">
        <v>3.3</v>
      </c>
      <c r="H241" s="4" t="n">
        <v>12.5</v>
      </c>
      <c r="I241" s="4" t="n">
        <v>2.8</v>
      </c>
      <c r="J241" s="4" t="n">
        <v>47.3</v>
      </c>
    </row>
    <row r="242" customFormat="false" ht="15" hidden="false" customHeight="false" outlineLevel="0" collapsed="false">
      <c r="A242" s="4" t="s">
        <v>260</v>
      </c>
      <c r="B242" s="4" t="s">
        <v>24</v>
      </c>
      <c r="C242" s="4" t="s">
        <v>18</v>
      </c>
      <c r="D242" s="14" t="n">
        <v>46059</v>
      </c>
      <c r="E242" s="4" t="n">
        <v>18</v>
      </c>
      <c r="F242" s="4" t="n">
        <v>28.3</v>
      </c>
      <c r="G242" s="4" t="n">
        <v>9.6</v>
      </c>
      <c r="H242" s="4" t="n">
        <v>13.8</v>
      </c>
      <c r="I242" s="4" t="n">
        <v>5.2</v>
      </c>
      <c r="J242" s="4" t="n">
        <v>56.9</v>
      </c>
    </row>
    <row r="243" customFormat="false" ht="15" hidden="false" customHeight="false" outlineLevel="0" collapsed="false">
      <c r="A243" s="4" t="s">
        <v>261</v>
      </c>
      <c r="B243" s="4" t="s">
        <v>17</v>
      </c>
      <c r="C243" s="4" t="s">
        <v>18</v>
      </c>
      <c r="D243" s="14" t="n">
        <v>46124</v>
      </c>
      <c r="E243" s="4" t="n">
        <v>19</v>
      </c>
      <c r="F243" s="4" t="n">
        <v>24.6</v>
      </c>
      <c r="G243" s="4" t="n">
        <v>3.6</v>
      </c>
      <c r="H243" s="4" t="n">
        <v>5.1</v>
      </c>
      <c r="I243" s="4" t="n">
        <v>8.1</v>
      </c>
      <c r="J243" s="4" t="n">
        <v>41.4</v>
      </c>
    </row>
    <row r="244" customFormat="false" ht="15" hidden="false" customHeight="false" outlineLevel="0" collapsed="false">
      <c r="A244" s="4" t="s">
        <v>262</v>
      </c>
      <c r="B244" s="4" t="s">
        <v>24</v>
      </c>
      <c r="C244" s="4" t="s">
        <v>18</v>
      </c>
      <c r="D244" s="14" t="n">
        <v>46196</v>
      </c>
      <c r="E244" s="4" t="n">
        <v>14</v>
      </c>
      <c r="F244" s="4" t="n">
        <v>29.4</v>
      </c>
      <c r="G244" s="4" t="n">
        <v>10.9</v>
      </c>
      <c r="H244" s="4" t="n">
        <v>5.6</v>
      </c>
      <c r="I244" s="4" t="n">
        <v>2.5</v>
      </c>
      <c r="J244" s="4" t="n">
        <v>48.4</v>
      </c>
    </row>
    <row r="245" customFormat="false" ht="15" hidden="false" customHeight="false" outlineLevel="0" collapsed="false">
      <c r="A245" s="4" t="s">
        <v>263</v>
      </c>
      <c r="B245" s="4" t="s">
        <v>17</v>
      </c>
      <c r="C245" s="4" t="s">
        <v>18</v>
      </c>
      <c r="D245" s="14" t="n">
        <v>46199</v>
      </c>
      <c r="E245" s="4" t="n">
        <v>17</v>
      </c>
      <c r="F245" s="4" t="n">
        <v>22.4</v>
      </c>
      <c r="G245" s="4" t="n">
        <v>2.4</v>
      </c>
      <c r="H245" s="4" t="n">
        <v>7.8</v>
      </c>
      <c r="I245" s="4" t="n">
        <v>5.8</v>
      </c>
      <c r="J245" s="4" t="n">
        <v>38.4</v>
      </c>
    </row>
    <row r="246" customFormat="false" ht="15" hidden="false" customHeight="false" outlineLevel="0" collapsed="false">
      <c r="A246" s="4" t="s">
        <v>264</v>
      </c>
      <c r="B246" s="4" t="s">
        <v>24</v>
      </c>
      <c r="C246" s="4" t="s">
        <v>35</v>
      </c>
      <c r="D246" s="14" t="n">
        <v>46062</v>
      </c>
      <c r="E246" s="4" t="n">
        <v>15</v>
      </c>
      <c r="F246" s="4" t="n">
        <v>22.3</v>
      </c>
      <c r="G246" s="4" t="n">
        <v>11.2</v>
      </c>
      <c r="H246" s="4" t="n">
        <v>9.3</v>
      </c>
      <c r="I246" s="4" t="n">
        <v>6</v>
      </c>
      <c r="J246" s="4" t="n">
        <v>48.8</v>
      </c>
    </row>
    <row r="247" customFormat="false" ht="15" hidden="false" customHeight="false" outlineLevel="0" collapsed="false">
      <c r="A247" s="4" t="s">
        <v>265</v>
      </c>
      <c r="B247" s="4" t="s">
        <v>24</v>
      </c>
      <c r="C247" s="4" t="s">
        <v>35</v>
      </c>
      <c r="D247" s="14" t="n">
        <v>46087</v>
      </c>
      <c r="E247" s="4" t="n">
        <v>12</v>
      </c>
      <c r="F247" s="4" t="n">
        <v>11.9</v>
      </c>
      <c r="G247" s="4" t="n">
        <v>7.2</v>
      </c>
      <c r="H247" s="4" t="n">
        <v>7.5</v>
      </c>
      <c r="I247" s="4" t="n">
        <v>3.9</v>
      </c>
      <c r="J247" s="4" t="n">
        <v>30.5</v>
      </c>
    </row>
    <row r="248" customFormat="false" ht="15" hidden="false" customHeight="false" outlineLevel="0" collapsed="false">
      <c r="A248" s="4" t="s">
        <v>266</v>
      </c>
      <c r="B248" s="4" t="s">
        <v>17</v>
      </c>
      <c r="C248" s="4" t="s">
        <v>18</v>
      </c>
      <c r="D248" s="14" t="n">
        <v>46071</v>
      </c>
      <c r="E248" s="4" t="n">
        <v>16</v>
      </c>
      <c r="F248" s="4" t="n">
        <v>25.6</v>
      </c>
      <c r="G248" s="4" t="n">
        <v>2.5</v>
      </c>
      <c r="H248" s="4" t="n">
        <v>6.8</v>
      </c>
      <c r="I248" s="4" t="n">
        <v>6.5</v>
      </c>
      <c r="J248" s="4" t="n">
        <v>41.4</v>
      </c>
    </row>
    <row r="249" customFormat="false" ht="15" hidden="false" customHeight="false" outlineLevel="0" collapsed="false">
      <c r="A249" s="4" t="s">
        <v>267</v>
      </c>
      <c r="B249" s="4" t="s">
        <v>20</v>
      </c>
      <c r="C249" s="4" t="s">
        <v>18</v>
      </c>
      <c r="D249" s="14" t="n">
        <v>46205</v>
      </c>
      <c r="E249" s="4" t="n">
        <v>14</v>
      </c>
      <c r="F249" s="4" t="n">
        <v>23</v>
      </c>
      <c r="G249" s="4" t="n">
        <v>3.8</v>
      </c>
      <c r="H249" s="4" t="n">
        <v>8.9</v>
      </c>
      <c r="I249" s="4" t="n">
        <v>3.7</v>
      </c>
      <c r="J249" s="4" t="n">
        <v>39.4</v>
      </c>
    </row>
    <row r="250" customFormat="false" ht="15" hidden="false" customHeight="false" outlineLevel="0" collapsed="false">
      <c r="A250" s="4" t="s">
        <v>268</v>
      </c>
      <c r="B250" s="4" t="s">
        <v>20</v>
      </c>
      <c r="C250" s="4" t="s">
        <v>35</v>
      </c>
      <c r="D250" s="14" t="n">
        <v>46063</v>
      </c>
      <c r="E250" s="4" t="n">
        <v>19</v>
      </c>
      <c r="F250" s="4" t="n">
        <v>20.6</v>
      </c>
      <c r="G250" s="4" t="n">
        <v>6.1</v>
      </c>
      <c r="H250" s="4" t="n">
        <v>7.6</v>
      </c>
      <c r="I250" s="4" t="n">
        <v>5.7</v>
      </c>
      <c r="J250" s="4" t="n">
        <v>40</v>
      </c>
    </row>
    <row r="251" customFormat="false" ht="15" hidden="false" customHeight="false" outlineLevel="0" collapsed="false">
      <c r="A251" s="4" t="s">
        <v>269</v>
      </c>
      <c r="B251" s="4" t="s">
        <v>20</v>
      </c>
      <c r="C251" s="4" t="s">
        <v>18</v>
      </c>
      <c r="D251" s="14" t="n">
        <v>46111</v>
      </c>
      <c r="E251" s="4" t="n">
        <v>17</v>
      </c>
      <c r="F251" s="4" t="n">
        <v>24.5</v>
      </c>
      <c r="G251" s="4" t="n">
        <v>5.7</v>
      </c>
      <c r="H251" s="4" t="n">
        <v>8.9</v>
      </c>
      <c r="I251" s="4" t="n">
        <v>7.8</v>
      </c>
      <c r="J251" s="4" t="n">
        <v>46.9</v>
      </c>
    </row>
    <row r="252" customFormat="false" ht="15" hidden="false" customHeight="false" outlineLevel="0" collapsed="false">
      <c r="A252" s="4" t="s">
        <v>270</v>
      </c>
      <c r="B252" s="4" t="s">
        <v>20</v>
      </c>
      <c r="C252" s="4" t="s">
        <v>18</v>
      </c>
      <c r="D252" s="14" t="n">
        <v>46181</v>
      </c>
      <c r="E252" s="4" t="n">
        <v>16</v>
      </c>
      <c r="F252" s="4" t="n">
        <v>20.7</v>
      </c>
      <c r="G252" s="4" t="n">
        <v>10</v>
      </c>
      <c r="H252" s="4" t="n">
        <v>9.5</v>
      </c>
      <c r="I252" s="4" t="n">
        <v>6.7</v>
      </c>
      <c r="J252" s="4" t="n">
        <v>46.9</v>
      </c>
    </row>
    <row r="253" customFormat="false" ht="15" hidden="false" customHeight="false" outlineLevel="0" collapsed="false">
      <c r="A253" s="4" t="s">
        <v>271</v>
      </c>
      <c r="B253" s="4" t="s">
        <v>20</v>
      </c>
      <c r="C253" s="4" t="s">
        <v>18</v>
      </c>
      <c r="D253" s="14" t="n">
        <v>46112</v>
      </c>
      <c r="E253" s="4" t="n">
        <v>12</v>
      </c>
      <c r="F253" s="4" t="n">
        <v>4.1</v>
      </c>
      <c r="G253" s="4" t="n">
        <v>11.4</v>
      </c>
      <c r="H253" s="4" t="n">
        <v>13.6</v>
      </c>
      <c r="I253" s="4" t="n">
        <v>2.8</v>
      </c>
      <c r="J253" s="4" t="n">
        <v>31.9</v>
      </c>
    </row>
    <row r="254" customFormat="false" ht="15" hidden="false" customHeight="false" outlineLevel="0" collapsed="false">
      <c r="A254" s="4" t="s">
        <v>272</v>
      </c>
      <c r="B254" s="4" t="s">
        <v>24</v>
      </c>
      <c r="C254" s="4" t="s">
        <v>18</v>
      </c>
      <c r="D254" s="14" t="n">
        <v>46089</v>
      </c>
      <c r="E254" s="4" t="n">
        <v>17</v>
      </c>
      <c r="F254" s="4" t="n">
        <v>22</v>
      </c>
      <c r="G254" s="4" t="n">
        <v>11.2</v>
      </c>
      <c r="H254" s="4" t="n">
        <v>9.1</v>
      </c>
      <c r="I254" s="4" t="n">
        <v>7.4</v>
      </c>
      <c r="J254" s="4" t="n">
        <v>49.7</v>
      </c>
    </row>
    <row r="255" customFormat="false" ht="15" hidden="false" customHeight="false" outlineLevel="0" collapsed="false">
      <c r="A255" s="4" t="s">
        <v>273</v>
      </c>
      <c r="B255" s="4" t="s">
        <v>20</v>
      </c>
      <c r="C255" s="4" t="s">
        <v>18</v>
      </c>
      <c r="D255" s="14" t="n">
        <v>46118</v>
      </c>
      <c r="E255" s="4" t="n">
        <v>13</v>
      </c>
      <c r="F255" s="4" t="n">
        <v>8.1</v>
      </c>
      <c r="G255" s="4" t="n">
        <v>7</v>
      </c>
      <c r="H255" s="4" t="n">
        <v>4.1</v>
      </c>
      <c r="I255" s="4" t="n">
        <v>8.9</v>
      </c>
      <c r="J255" s="4" t="n">
        <v>28.1</v>
      </c>
    </row>
    <row r="256" customFormat="false" ht="15" hidden="false" customHeight="false" outlineLevel="0" collapsed="false">
      <c r="A256" s="4" t="s">
        <v>274</v>
      </c>
      <c r="B256" s="4" t="s">
        <v>17</v>
      </c>
      <c r="C256" s="4" t="s">
        <v>35</v>
      </c>
      <c r="D256" s="14" t="n">
        <v>46079</v>
      </c>
      <c r="E256" s="4" t="n">
        <v>13</v>
      </c>
      <c r="F256" s="4" t="n">
        <v>4.4</v>
      </c>
      <c r="G256" s="4" t="n">
        <v>10.6</v>
      </c>
      <c r="H256" s="4" t="n">
        <v>11.2</v>
      </c>
      <c r="I256" s="4" t="n">
        <v>2.1</v>
      </c>
      <c r="J256" s="4" t="n">
        <v>28.3</v>
      </c>
    </row>
    <row r="257" customFormat="false" ht="15" hidden="false" customHeight="false" outlineLevel="0" collapsed="false">
      <c r="A257" s="4" t="s">
        <v>275</v>
      </c>
      <c r="B257" s="4" t="s">
        <v>17</v>
      </c>
      <c r="C257" s="4" t="s">
        <v>18</v>
      </c>
      <c r="D257" s="14" t="n">
        <v>46133</v>
      </c>
      <c r="E257" s="4" t="n">
        <v>12</v>
      </c>
      <c r="F257" s="4" t="n">
        <v>6.6</v>
      </c>
      <c r="G257" s="4" t="n">
        <v>5.8</v>
      </c>
      <c r="H257" s="4" t="n">
        <v>12.2</v>
      </c>
      <c r="I257" s="4" t="n">
        <v>5.5</v>
      </c>
      <c r="J257" s="4" t="n">
        <v>30.1</v>
      </c>
    </row>
    <row r="258" customFormat="false" ht="15" hidden="false" customHeight="false" outlineLevel="0" collapsed="false">
      <c r="A258" s="4" t="s">
        <v>276</v>
      </c>
      <c r="B258" s="4" t="s">
        <v>17</v>
      </c>
      <c r="C258" s="4" t="s">
        <v>18</v>
      </c>
      <c r="D258" s="14" t="n">
        <v>46092</v>
      </c>
      <c r="E258" s="4" t="n">
        <v>18</v>
      </c>
      <c r="F258" s="4" t="n">
        <v>29.7</v>
      </c>
      <c r="G258" s="4" t="n">
        <v>8.4</v>
      </c>
      <c r="H258" s="4" t="n">
        <v>8.4</v>
      </c>
      <c r="I258" s="4" t="n">
        <v>3.2</v>
      </c>
      <c r="J258" s="4" t="n">
        <v>49.7</v>
      </c>
    </row>
    <row r="259" customFormat="false" ht="15" hidden="false" customHeight="false" outlineLevel="0" collapsed="false">
      <c r="A259" s="4" t="s">
        <v>277</v>
      </c>
      <c r="B259" s="4" t="s">
        <v>24</v>
      </c>
      <c r="C259" s="4" t="s">
        <v>18</v>
      </c>
      <c r="D259" s="14" t="n">
        <v>46166</v>
      </c>
      <c r="E259" s="4" t="n">
        <v>15</v>
      </c>
      <c r="F259" s="4" t="n">
        <v>28.9</v>
      </c>
      <c r="G259" s="4" t="n">
        <v>11.9</v>
      </c>
      <c r="H259" s="4" t="n">
        <v>13.5</v>
      </c>
      <c r="I259" s="4" t="n">
        <v>5.7</v>
      </c>
      <c r="J259" s="4" t="n">
        <v>60</v>
      </c>
    </row>
    <row r="260" customFormat="false" ht="15" hidden="false" customHeight="false" outlineLevel="0" collapsed="false">
      <c r="A260" s="4" t="s">
        <v>278</v>
      </c>
      <c r="B260" s="4" t="s">
        <v>24</v>
      </c>
      <c r="C260" s="4" t="s">
        <v>18</v>
      </c>
      <c r="D260" s="14" t="n">
        <v>46198</v>
      </c>
      <c r="E260" s="4" t="n">
        <v>8</v>
      </c>
      <c r="F260" s="4" t="n">
        <v>4.5</v>
      </c>
      <c r="G260" s="4" t="n">
        <v>10.4</v>
      </c>
      <c r="H260" s="4" t="n">
        <v>5.5</v>
      </c>
      <c r="I260" s="4" t="n">
        <v>7</v>
      </c>
      <c r="J260" s="4" t="n">
        <v>27.4</v>
      </c>
    </row>
    <row r="261" customFormat="false" ht="15" hidden="false" customHeight="false" outlineLevel="0" collapsed="false">
      <c r="A261" s="4" t="s">
        <v>279</v>
      </c>
      <c r="B261" s="4" t="s">
        <v>20</v>
      </c>
      <c r="C261" s="4" t="s">
        <v>18</v>
      </c>
      <c r="D261" s="14" t="n">
        <v>46122</v>
      </c>
      <c r="E261" s="4" t="n">
        <v>8</v>
      </c>
      <c r="F261" s="4" t="n">
        <v>6</v>
      </c>
      <c r="G261" s="4" t="n">
        <v>8.2</v>
      </c>
      <c r="H261" s="4" t="n">
        <v>8.3</v>
      </c>
      <c r="I261" s="4" t="n">
        <v>5.4</v>
      </c>
      <c r="J261" s="4" t="n">
        <v>27.9</v>
      </c>
    </row>
    <row r="262" customFormat="false" ht="15" hidden="false" customHeight="false" outlineLevel="0" collapsed="false">
      <c r="A262" s="4" t="s">
        <v>280</v>
      </c>
      <c r="B262" s="4" t="s">
        <v>20</v>
      </c>
      <c r="C262" s="4" t="s">
        <v>18</v>
      </c>
      <c r="D262" s="14" t="n">
        <v>46030</v>
      </c>
      <c r="E262" s="4" t="n">
        <v>7</v>
      </c>
      <c r="F262" s="4" t="n">
        <v>3.6</v>
      </c>
      <c r="G262" s="4" t="n">
        <v>11.8</v>
      </c>
      <c r="H262" s="4" t="n">
        <v>3.2</v>
      </c>
      <c r="I262" s="4" t="n">
        <v>7.7</v>
      </c>
      <c r="J262" s="4" t="n">
        <v>26.3</v>
      </c>
    </row>
    <row r="263" customFormat="false" ht="15" hidden="false" customHeight="false" outlineLevel="0" collapsed="false">
      <c r="A263" s="4" t="s">
        <v>281</v>
      </c>
      <c r="B263" s="4" t="s">
        <v>17</v>
      </c>
      <c r="C263" s="4" t="s">
        <v>35</v>
      </c>
      <c r="D263" s="14" t="n">
        <v>46072</v>
      </c>
      <c r="E263" s="4" t="n">
        <v>9</v>
      </c>
      <c r="F263" s="4" t="n">
        <v>5.1</v>
      </c>
      <c r="G263" s="4" t="n">
        <v>4.4</v>
      </c>
      <c r="H263" s="4" t="n">
        <v>9.8</v>
      </c>
      <c r="I263" s="4" t="n">
        <v>3.8</v>
      </c>
      <c r="J263" s="4" t="n">
        <v>23.1</v>
      </c>
    </row>
    <row r="264" customFormat="false" ht="15" hidden="false" customHeight="false" outlineLevel="0" collapsed="false">
      <c r="A264" s="4" t="s">
        <v>282</v>
      </c>
      <c r="B264" s="4" t="s">
        <v>20</v>
      </c>
      <c r="C264" s="4" t="s">
        <v>35</v>
      </c>
      <c r="D264" s="14" t="n">
        <v>46047</v>
      </c>
      <c r="E264" s="4" t="n">
        <v>13</v>
      </c>
      <c r="F264" s="4" t="n">
        <v>7.7</v>
      </c>
      <c r="G264" s="4" t="n">
        <v>4.4</v>
      </c>
      <c r="H264" s="4" t="n">
        <v>10.7</v>
      </c>
      <c r="I264" s="4" t="n">
        <v>4.1</v>
      </c>
      <c r="J264" s="4" t="n">
        <v>26.9</v>
      </c>
    </row>
    <row r="265" customFormat="false" ht="15" hidden="false" customHeight="false" outlineLevel="0" collapsed="false">
      <c r="A265" s="4" t="s">
        <v>283</v>
      </c>
      <c r="B265" s="4" t="s">
        <v>24</v>
      </c>
      <c r="C265" s="4" t="s">
        <v>18</v>
      </c>
      <c r="D265" s="14" t="n">
        <v>46193</v>
      </c>
      <c r="E265" s="4" t="n">
        <v>18</v>
      </c>
      <c r="F265" s="4" t="n">
        <v>24.1</v>
      </c>
      <c r="G265" s="4" t="n">
        <v>5.8</v>
      </c>
      <c r="H265" s="4" t="n">
        <v>8.2</v>
      </c>
      <c r="I265" s="4" t="n">
        <v>6.5</v>
      </c>
      <c r="J265" s="4" t="n">
        <v>44.6</v>
      </c>
    </row>
    <row r="266" customFormat="false" ht="15" hidden="false" customHeight="false" outlineLevel="0" collapsed="false">
      <c r="A266" s="4" t="s">
        <v>284</v>
      </c>
      <c r="B266" s="4" t="s">
        <v>17</v>
      </c>
      <c r="C266" s="4" t="s">
        <v>18</v>
      </c>
      <c r="D266" s="14" t="n">
        <v>46138</v>
      </c>
      <c r="E266" s="4" t="n">
        <v>17</v>
      </c>
      <c r="F266" s="4" t="n">
        <v>25.7</v>
      </c>
      <c r="G266" s="4" t="n">
        <v>10.6</v>
      </c>
      <c r="H266" s="4" t="n">
        <v>4</v>
      </c>
      <c r="I266" s="4" t="n">
        <v>5.7</v>
      </c>
      <c r="J266" s="4" t="n">
        <v>46</v>
      </c>
    </row>
    <row r="267" customFormat="false" ht="15" hidden="false" customHeight="false" outlineLevel="0" collapsed="false">
      <c r="A267" s="4" t="s">
        <v>285</v>
      </c>
      <c r="B267" s="4" t="s">
        <v>20</v>
      </c>
      <c r="C267" s="4" t="s">
        <v>18</v>
      </c>
      <c r="D267" s="14" t="n">
        <v>46204</v>
      </c>
      <c r="E267" s="4" t="n">
        <v>19</v>
      </c>
      <c r="F267" s="4" t="n">
        <v>22.7</v>
      </c>
      <c r="G267" s="4" t="n">
        <v>11.2</v>
      </c>
      <c r="H267" s="4" t="n">
        <v>10.5</v>
      </c>
      <c r="I267" s="4" t="n">
        <v>4</v>
      </c>
      <c r="J267" s="4" t="n">
        <v>48.4</v>
      </c>
    </row>
    <row r="268" customFormat="false" ht="15" hidden="false" customHeight="false" outlineLevel="0" collapsed="false">
      <c r="A268" s="4" t="s">
        <v>286</v>
      </c>
      <c r="B268" s="4" t="s">
        <v>17</v>
      </c>
      <c r="C268" s="4" t="s">
        <v>18</v>
      </c>
      <c r="D268" s="14" t="n">
        <v>46072</v>
      </c>
      <c r="E268" s="4" t="n">
        <v>20</v>
      </c>
      <c r="F268" s="4" t="n">
        <v>20.2</v>
      </c>
      <c r="G268" s="4" t="n">
        <v>4.1</v>
      </c>
      <c r="H268" s="4" t="n">
        <v>4.6</v>
      </c>
      <c r="I268" s="4" t="n">
        <v>7.7</v>
      </c>
      <c r="J268" s="4" t="n">
        <v>36.6</v>
      </c>
    </row>
    <row r="269" customFormat="false" ht="15" hidden="false" customHeight="false" outlineLevel="0" collapsed="false">
      <c r="A269" s="4" t="s">
        <v>287</v>
      </c>
      <c r="B269" s="4" t="s">
        <v>24</v>
      </c>
      <c r="C269" s="4" t="s">
        <v>53</v>
      </c>
      <c r="D269" s="14" t="n">
        <v>46103</v>
      </c>
      <c r="E269" s="4" t="n">
        <v>10</v>
      </c>
      <c r="F269" s="4" t="n">
        <v>8.5</v>
      </c>
      <c r="G269" s="4" t="n">
        <v>10.5</v>
      </c>
      <c r="H269" s="4" t="n">
        <v>10.4</v>
      </c>
      <c r="I269" s="4" t="n">
        <v>5.8</v>
      </c>
      <c r="J269" s="4" t="n">
        <v>35.2</v>
      </c>
    </row>
    <row r="270" customFormat="false" ht="15" hidden="false" customHeight="false" outlineLevel="0" collapsed="false">
      <c r="A270" s="4" t="s">
        <v>288</v>
      </c>
      <c r="B270" s="4" t="s">
        <v>20</v>
      </c>
      <c r="C270" s="4" t="s">
        <v>35</v>
      </c>
      <c r="D270" s="14" t="n">
        <v>46203</v>
      </c>
      <c r="E270" s="4" t="n">
        <v>18</v>
      </c>
      <c r="F270" s="4" t="n">
        <v>27.5</v>
      </c>
      <c r="G270" s="4" t="n">
        <v>5.5</v>
      </c>
      <c r="H270" s="4" t="n">
        <v>4.1</v>
      </c>
      <c r="I270" s="4" t="n">
        <v>3.6</v>
      </c>
      <c r="J270" s="4" t="n">
        <v>40.7</v>
      </c>
    </row>
    <row r="271" customFormat="false" ht="15" hidden="false" customHeight="false" outlineLevel="0" collapsed="false">
      <c r="A271" s="4" t="s">
        <v>289</v>
      </c>
      <c r="B271" s="4" t="s">
        <v>20</v>
      </c>
      <c r="C271" s="4" t="s">
        <v>18</v>
      </c>
      <c r="D271" s="14" t="n">
        <v>46184</v>
      </c>
      <c r="E271" s="4" t="n">
        <v>20</v>
      </c>
      <c r="F271" s="4" t="n">
        <v>29.7</v>
      </c>
      <c r="G271" s="4" t="n">
        <v>5.3</v>
      </c>
      <c r="H271" s="4" t="n">
        <v>10</v>
      </c>
      <c r="I271" s="4" t="n">
        <v>7.5</v>
      </c>
      <c r="J271" s="4" t="n">
        <v>52.5</v>
      </c>
    </row>
    <row r="272" customFormat="false" ht="15" hidden="false" customHeight="false" outlineLevel="0" collapsed="false">
      <c r="A272" s="4" t="s">
        <v>290</v>
      </c>
      <c r="B272" s="4" t="s">
        <v>17</v>
      </c>
      <c r="C272" s="4" t="s">
        <v>18</v>
      </c>
      <c r="D272" s="14" t="n">
        <v>46168</v>
      </c>
      <c r="E272" s="4" t="n">
        <v>20</v>
      </c>
      <c r="F272" s="4" t="n">
        <v>21.9</v>
      </c>
      <c r="G272" s="4" t="n">
        <v>7.9</v>
      </c>
      <c r="H272" s="4" t="n">
        <v>7.2</v>
      </c>
      <c r="I272" s="4" t="n">
        <v>7.4</v>
      </c>
      <c r="J272" s="4" t="n">
        <v>44.4</v>
      </c>
    </row>
    <row r="273" customFormat="false" ht="15" hidden="false" customHeight="false" outlineLevel="0" collapsed="false">
      <c r="A273" s="4" t="s">
        <v>291</v>
      </c>
      <c r="B273" s="4" t="s">
        <v>20</v>
      </c>
      <c r="C273" s="4" t="s">
        <v>18</v>
      </c>
      <c r="D273" s="14" t="n">
        <v>46045</v>
      </c>
      <c r="E273" s="4" t="n">
        <v>9</v>
      </c>
      <c r="F273" s="4" t="n">
        <v>4.3</v>
      </c>
      <c r="G273" s="4" t="n">
        <v>9.8</v>
      </c>
      <c r="H273" s="4" t="n">
        <v>4.7</v>
      </c>
      <c r="I273" s="4" t="n">
        <v>4.7</v>
      </c>
      <c r="J273" s="4" t="n">
        <v>23.5</v>
      </c>
    </row>
    <row r="274" customFormat="false" ht="15" hidden="false" customHeight="false" outlineLevel="0" collapsed="false">
      <c r="A274" s="4" t="s">
        <v>292</v>
      </c>
      <c r="B274" s="4" t="s">
        <v>20</v>
      </c>
      <c r="C274" s="4" t="s">
        <v>18</v>
      </c>
      <c r="D274" s="14" t="n">
        <v>46105</v>
      </c>
      <c r="E274" s="4" t="n">
        <v>14</v>
      </c>
      <c r="F274" s="4" t="n">
        <v>22.7</v>
      </c>
      <c r="G274" s="4" t="n">
        <v>3.3</v>
      </c>
      <c r="H274" s="4" t="n">
        <v>5.1</v>
      </c>
      <c r="I274" s="4" t="n">
        <v>5.1</v>
      </c>
      <c r="J274" s="4" t="n">
        <v>36.2</v>
      </c>
    </row>
    <row r="275" customFormat="false" ht="15" hidden="false" customHeight="false" outlineLevel="0" collapsed="false">
      <c r="A275" s="4" t="s">
        <v>293</v>
      </c>
      <c r="B275" s="4" t="s">
        <v>17</v>
      </c>
      <c r="C275" s="4" t="s">
        <v>18</v>
      </c>
      <c r="D275" s="14" t="n">
        <v>46033</v>
      </c>
      <c r="E275" s="4" t="n">
        <v>9</v>
      </c>
      <c r="F275" s="4" t="n">
        <v>2.6</v>
      </c>
      <c r="G275" s="4" t="n">
        <v>8</v>
      </c>
      <c r="H275" s="4" t="n">
        <v>6.6</v>
      </c>
      <c r="I275" s="4" t="n">
        <v>4.7</v>
      </c>
      <c r="J275" s="4" t="n">
        <v>21.9</v>
      </c>
    </row>
    <row r="276" customFormat="false" ht="15" hidden="false" customHeight="false" outlineLevel="0" collapsed="false">
      <c r="A276" s="4" t="s">
        <v>294</v>
      </c>
      <c r="B276" s="4" t="s">
        <v>20</v>
      </c>
      <c r="C276" s="4" t="s">
        <v>18</v>
      </c>
      <c r="D276" s="14" t="n">
        <v>46048</v>
      </c>
      <c r="E276" s="4" t="n">
        <v>18</v>
      </c>
      <c r="F276" s="4" t="n">
        <v>29.1</v>
      </c>
      <c r="G276" s="4" t="n">
        <v>11.8</v>
      </c>
      <c r="H276" s="4" t="n">
        <v>9.3</v>
      </c>
      <c r="I276" s="4" t="n">
        <v>3.2</v>
      </c>
      <c r="J276" s="4" t="n">
        <v>53.4</v>
      </c>
    </row>
    <row r="277" customFormat="false" ht="15" hidden="false" customHeight="false" outlineLevel="0" collapsed="false">
      <c r="A277" s="4" t="s">
        <v>295</v>
      </c>
      <c r="B277" s="4" t="s">
        <v>20</v>
      </c>
      <c r="C277" s="4" t="s">
        <v>18</v>
      </c>
      <c r="D277" s="14" t="n">
        <v>46104</v>
      </c>
      <c r="E277" s="4" t="n">
        <v>12</v>
      </c>
      <c r="F277" s="4" t="n">
        <v>4.5</v>
      </c>
      <c r="G277" s="4" t="n">
        <v>6.3</v>
      </c>
      <c r="H277" s="4" t="n">
        <v>7.6</v>
      </c>
      <c r="I277" s="4" t="n">
        <v>5.4</v>
      </c>
      <c r="J277" s="4" t="n">
        <v>23.8</v>
      </c>
    </row>
    <row r="278" customFormat="false" ht="15" hidden="false" customHeight="false" outlineLevel="0" collapsed="false">
      <c r="A278" s="4" t="s">
        <v>296</v>
      </c>
      <c r="B278" s="4" t="s">
        <v>20</v>
      </c>
      <c r="C278" s="4" t="s">
        <v>18</v>
      </c>
      <c r="D278" s="14" t="n">
        <v>46090</v>
      </c>
      <c r="E278" s="4" t="n">
        <v>18</v>
      </c>
      <c r="F278" s="4" t="n">
        <v>25.9</v>
      </c>
      <c r="G278" s="4" t="n">
        <v>4</v>
      </c>
      <c r="H278" s="4" t="n">
        <v>4.2</v>
      </c>
      <c r="I278" s="4" t="n">
        <v>4.1</v>
      </c>
      <c r="J278" s="4" t="n">
        <v>38.2</v>
      </c>
    </row>
    <row r="279" customFormat="false" ht="15" hidden="false" customHeight="false" outlineLevel="0" collapsed="false">
      <c r="A279" s="4" t="s">
        <v>297</v>
      </c>
      <c r="B279" s="4" t="s">
        <v>24</v>
      </c>
      <c r="C279" s="4" t="s">
        <v>18</v>
      </c>
      <c r="D279" s="14" t="n">
        <v>46185</v>
      </c>
      <c r="E279" s="4" t="n">
        <v>13</v>
      </c>
      <c r="F279" s="4" t="n">
        <v>6.6</v>
      </c>
      <c r="G279" s="4" t="n">
        <v>5.3</v>
      </c>
      <c r="H279" s="4" t="n">
        <v>12</v>
      </c>
      <c r="I279" s="4" t="n">
        <v>8</v>
      </c>
      <c r="J279" s="4" t="n">
        <v>31.9</v>
      </c>
    </row>
    <row r="280" customFormat="false" ht="15" hidden="false" customHeight="false" outlineLevel="0" collapsed="false">
      <c r="A280" s="4" t="s">
        <v>298</v>
      </c>
      <c r="B280" s="4" t="s">
        <v>24</v>
      </c>
      <c r="C280" s="4" t="s">
        <v>18</v>
      </c>
      <c r="D280" s="14" t="n">
        <v>46109</v>
      </c>
      <c r="E280" s="4" t="n">
        <v>16</v>
      </c>
      <c r="F280" s="4" t="n">
        <v>22</v>
      </c>
      <c r="G280" s="4" t="n">
        <v>5.1</v>
      </c>
      <c r="H280" s="4" t="n">
        <v>13.6</v>
      </c>
      <c r="I280" s="4" t="n">
        <v>8.8</v>
      </c>
      <c r="J280" s="4" t="n">
        <v>49.5</v>
      </c>
    </row>
    <row r="281" customFormat="false" ht="15" hidden="false" customHeight="false" outlineLevel="0" collapsed="false">
      <c r="A281" s="4" t="s">
        <v>299</v>
      </c>
      <c r="B281" s="4" t="s">
        <v>20</v>
      </c>
      <c r="C281" s="4" t="s">
        <v>18</v>
      </c>
      <c r="D281" s="14" t="n">
        <v>46152</v>
      </c>
      <c r="E281" s="4" t="n">
        <v>21</v>
      </c>
      <c r="F281" s="4" t="n">
        <v>22.4</v>
      </c>
      <c r="G281" s="4" t="n">
        <v>5.8</v>
      </c>
      <c r="H281" s="4" t="n">
        <v>12</v>
      </c>
      <c r="I281" s="4" t="n">
        <v>4.8</v>
      </c>
      <c r="J281" s="4" t="n">
        <v>45</v>
      </c>
    </row>
    <row r="282" customFormat="false" ht="15" hidden="false" customHeight="false" outlineLevel="0" collapsed="false">
      <c r="A282" s="4" t="s">
        <v>300</v>
      </c>
      <c r="B282" s="4" t="s">
        <v>20</v>
      </c>
      <c r="C282" s="4" t="s">
        <v>18</v>
      </c>
      <c r="D282" s="14" t="n">
        <v>46178</v>
      </c>
      <c r="E282" s="4" t="n">
        <v>21</v>
      </c>
      <c r="F282" s="4" t="n">
        <v>26.8</v>
      </c>
      <c r="G282" s="4" t="n">
        <v>7.5</v>
      </c>
      <c r="H282" s="4" t="n">
        <v>13.5</v>
      </c>
      <c r="I282" s="4" t="n">
        <v>5.2</v>
      </c>
      <c r="J282" s="4" t="n">
        <v>53</v>
      </c>
    </row>
    <row r="283" customFormat="false" ht="15" hidden="false" customHeight="false" outlineLevel="0" collapsed="false">
      <c r="A283" s="4" t="s">
        <v>301</v>
      </c>
      <c r="B283" s="4" t="s">
        <v>17</v>
      </c>
      <c r="C283" s="4" t="s">
        <v>18</v>
      </c>
      <c r="D283" s="14" t="n">
        <v>46101</v>
      </c>
      <c r="E283" s="4" t="n">
        <v>19</v>
      </c>
      <c r="F283" s="4" t="n">
        <v>28.2</v>
      </c>
      <c r="G283" s="4" t="n">
        <v>10</v>
      </c>
      <c r="H283" s="4" t="n">
        <v>7.5</v>
      </c>
      <c r="I283" s="4" t="n">
        <v>5.5</v>
      </c>
      <c r="J283" s="4" t="n">
        <v>51.2</v>
      </c>
    </row>
    <row r="284" customFormat="false" ht="15" hidden="false" customHeight="false" outlineLevel="0" collapsed="false">
      <c r="A284" s="4" t="s">
        <v>302</v>
      </c>
      <c r="B284" s="4" t="s">
        <v>17</v>
      </c>
      <c r="C284" s="4" t="s">
        <v>18</v>
      </c>
      <c r="D284" s="14" t="n">
        <v>46195</v>
      </c>
      <c r="E284" s="4" t="n">
        <v>10</v>
      </c>
      <c r="F284" s="4" t="n">
        <v>10.3</v>
      </c>
      <c r="G284" s="4" t="n">
        <v>2.7</v>
      </c>
      <c r="H284" s="4" t="n">
        <v>13.9</v>
      </c>
      <c r="I284" s="4" t="n">
        <v>5.4</v>
      </c>
      <c r="J284" s="4" t="n">
        <v>32.3</v>
      </c>
    </row>
    <row r="285" customFormat="false" ht="15" hidden="false" customHeight="false" outlineLevel="0" collapsed="false">
      <c r="A285" s="4" t="s">
        <v>303</v>
      </c>
      <c r="B285" s="4" t="s">
        <v>20</v>
      </c>
      <c r="C285" s="4" t="s">
        <v>18</v>
      </c>
      <c r="D285" s="14" t="n">
        <v>46204</v>
      </c>
      <c r="E285" s="4" t="n">
        <v>14</v>
      </c>
      <c r="F285" s="4" t="n">
        <v>27.9</v>
      </c>
      <c r="G285" s="4" t="n">
        <v>5.6</v>
      </c>
      <c r="H285" s="4" t="n">
        <v>12.9</v>
      </c>
      <c r="I285" s="4" t="n">
        <v>5.8</v>
      </c>
      <c r="J285" s="4" t="n">
        <v>52.2</v>
      </c>
    </row>
    <row r="286" customFormat="false" ht="15" hidden="false" customHeight="false" outlineLevel="0" collapsed="false">
      <c r="A286" s="4" t="s">
        <v>304</v>
      </c>
      <c r="B286" s="4" t="s">
        <v>17</v>
      </c>
      <c r="C286" s="4" t="s">
        <v>18</v>
      </c>
      <c r="D286" s="14" t="n">
        <v>46090</v>
      </c>
      <c r="E286" s="4" t="n">
        <v>17</v>
      </c>
      <c r="F286" s="4" t="n">
        <v>21.7</v>
      </c>
      <c r="G286" s="4" t="n">
        <v>8.1</v>
      </c>
      <c r="H286" s="4" t="n">
        <v>9.2</v>
      </c>
      <c r="I286" s="4" t="n">
        <v>6.5</v>
      </c>
      <c r="J286" s="4" t="n">
        <v>45.5</v>
      </c>
    </row>
    <row r="287" customFormat="false" ht="15" hidden="false" customHeight="false" outlineLevel="0" collapsed="false">
      <c r="A287" s="4" t="s">
        <v>305</v>
      </c>
      <c r="B287" s="4" t="s">
        <v>17</v>
      </c>
      <c r="C287" s="4" t="s">
        <v>53</v>
      </c>
      <c r="D287" s="14" t="n">
        <v>46111</v>
      </c>
      <c r="E287" s="4" t="n">
        <v>21</v>
      </c>
      <c r="F287" s="4" t="n">
        <v>21.1</v>
      </c>
      <c r="G287" s="4" t="n">
        <v>3</v>
      </c>
      <c r="H287" s="4" t="n">
        <v>5.4</v>
      </c>
      <c r="I287" s="4" t="n">
        <v>7.2</v>
      </c>
      <c r="J287" s="4" t="n">
        <v>36.7</v>
      </c>
    </row>
    <row r="288" customFormat="false" ht="15" hidden="false" customHeight="false" outlineLevel="0" collapsed="false">
      <c r="A288" s="4" t="s">
        <v>306</v>
      </c>
      <c r="B288" s="4" t="s">
        <v>17</v>
      </c>
      <c r="C288" s="4" t="s">
        <v>18</v>
      </c>
      <c r="D288" s="14" t="n">
        <v>46083</v>
      </c>
      <c r="E288" s="4" t="n">
        <v>14</v>
      </c>
      <c r="F288" s="4" t="n">
        <v>24.6</v>
      </c>
      <c r="G288" s="4" t="n">
        <v>8.8</v>
      </c>
      <c r="H288" s="4" t="n">
        <v>10.6</v>
      </c>
      <c r="I288" s="4" t="n">
        <v>3.1</v>
      </c>
      <c r="J288" s="4" t="n">
        <v>47.1</v>
      </c>
    </row>
    <row r="289" customFormat="false" ht="15" hidden="false" customHeight="false" outlineLevel="0" collapsed="false">
      <c r="A289" s="4" t="s">
        <v>307</v>
      </c>
      <c r="B289" s="4" t="s">
        <v>24</v>
      </c>
      <c r="C289" s="4" t="s">
        <v>18</v>
      </c>
      <c r="D289" s="14" t="n">
        <v>46102</v>
      </c>
      <c r="E289" s="4" t="n">
        <v>14</v>
      </c>
      <c r="F289" s="4" t="n">
        <v>21.2</v>
      </c>
      <c r="G289" s="4" t="n">
        <v>11.4</v>
      </c>
      <c r="H289" s="4" t="n">
        <v>4.6</v>
      </c>
      <c r="I289" s="4" t="n">
        <v>4.2</v>
      </c>
      <c r="J289" s="4" t="n">
        <v>41.4</v>
      </c>
    </row>
    <row r="290" customFormat="false" ht="15" hidden="false" customHeight="false" outlineLevel="0" collapsed="false">
      <c r="A290" s="4" t="s">
        <v>308</v>
      </c>
      <c r="B290" s="4" t="s">
        <v>17</v>
      </c>
      <c r="C290" s="4" t="s">
        <v>18</v>
      </c>
      <c r="D290" s="14" t="n">
        <v>46150</v>
      </c>
      <c r="E290" s="4" t="n">
        <v>13</v>
      </c>
      <c r="F290" s="4" t="n">
        <v>7.5</v>
      </c>
      <c r="G290" s="4" t="n">
        <v>9</v>
      </c>
      <c r="H290" s="4" t="n">
        <v>6.5</v>
      </c>
      <c r="I290" s="4" t="n">
        <v>4.1</v>
      </c>
      <c r="J290" s="4" t="n">
        <v>27.1</v>
      </c>
    </row>
    <row r="291" customFormat="false" ht="15" hidden="false" customHeight="false" outlineLevel="0" collapsed="false">
      <c r="A291" s="4" t="s">
        <v>309</v>
      </c>
      <c r="B291" s="4" t="s">
        <v>24</v>
      </c>
      <c r="C291" s="4" t="s">
        <v>18</v>
      </c>
      <c r="D291" s="14" t="n">
        <v>46114</v>
      </c>
      <c r="E291" s="4" t="n">
        <v>17</v>
      </c>
      <c r="F291" s="4" t="n">
        <v>28</v>
      </c>
      <c r="G291" s="4" t="n">
        <v>11.3</v>
      </c>
      <c r="H291" s="4" t="n">
        <v>11.1</v>
      </c>
      <c r="I291" s="4" t="n">
        <v>5.6</v>
      </c>
      <c r="J291" s="4" t="n">
        <v>56</v>
      </c>
    </row>
    <row r="292" customFormat="false" ht="15" hidden="false" customHeight="false" outlineLevel="0" collapsed="false">
      <c r="A292" s="4" t="s">
        <v>310</v>
      </c>
      <c r="B292" s="4" t="s">
        <v>17</v>
      </c>
      <c r="C292" s="4" t="s">
        <v>18</v>
      </c>
      <c r="D292" s="14" t="n">
        <v>46136</v>
      </c>
      <c r="E292" s="4" t="n">
        <v>20</v>
      </c>
      <c r="F292" s="4" t="n">
        <v>28</v>
      </c>
      <c r="G292" s="4" t="n">
        <v>8.3</v>
      </c>
      <c r="H292" s="4" t="n">
        <v>5.1</v>
      </c>
      <c r="I292" s="4" t="n">
        <v>6.6</v>
      </c>
      <c r="J292" s="4" t="n">
        <v>48</v>
      </c>
    </row>
    <row r="293" customFormat="false" ht="15" hidden="false" customHeight="false" outlineLevel="0" collapsed="false">
      <c r="A293" s="4" t="s">
        <v>311</v>
      </c>
      <c r="B293" s="4" t="s">
        <v>20</v>
      </c>
      <c r="C293" s="4" t="s">
        <v>35</v>
      </c>
      <c r="D293" s="14" t="n">
        <v>46077</v>
      </c>
      <c r="E293" s="4" t="n">
        <v>14</v>
      </c>
      <c r="F293" s="4" t="n">
        <v>23.9</v>
      </c>
      <c r="G293" s="4" t="n">
        <v>9</v>
      </c>
      <c r="H293" s="4" t="n">
        <v>5.3</v>
      </c>
      <c r="I293" s="4" t="n">
        <v>7.3</v>
      </c>
      <c r="J293" s="4" t="n">
        <v>45.5</v>
      </c>
    </row>
    <row r="294" customFormat="false" ht="15" hidden="false" customHeight="false" outlineLevel="0" collapsed="false">
      <c r="A294" s="4" t="s">
        <v>312</v>
      </c>
      <c r="B294" s="4" t="s">
        <v>24</v>
      </c>
      <c r="C294" s="4" t="s">
        <v>18</v>
      </c>
      <c r="D294" s="14" t="n">
        <v>46053</v>
      </c>
      <c r="E294" s="4" t="n">
        <v>19</v>
      </c>
      <c r="F294" s="4" t="n">
        <v>21.9</v>
      </c>
      <c r="G294" s="4" t="n">
        <v>5.3</v>
      </c>
      <c r="H294" s="4" t="n">
        <v>8</v>
      </c>
      <c r="I294" s="4" t="n">
        <v>3.8</v>
      </c>
      <c r="J294" s="4" t="n">
        <v>39</v>
      </c>
    </row>
    <row r="295" customFormat="false" ht="15" hidden="false" customHeight="false" outlineLevel="0" collapsed="false">
      <c r="A295" s="4" t="s">
        <v>313</v>
      </c>
      <c r="B295" s="4" t="s">
        <v>24</v>
      </c>
      <c r="C295" s="4" t="s">
        <v>18</v>
      </c>
      <c r="D295" s="14" t="n">
        <v>46190</v>
      </c>
      <c r="E295" s="4" t="n">
        <v>13</v>
      </c>
      <c r="F295" s="4" t="n">
        <v>8.9</v>
      </c>
      <c r="G295" s="4" t="n">
        <v>7.9</v>
      </c>
      <c r="H295" s="4" t="n">
        <v>6.8</v>
      </c>
      <c r="I295" s="4" t="n">
        <v>7.9</v>
      </c>
      <c r="J295" s="4" t="n">
        <v>31.5</v>
      </c>
    </row>
    <row r="296" customFormat="false" ht="15" hidden="false" customHeight="false" outlineLevel="0" collapsed="false">
      <c r="A296" s="4" t="s">
        <v>314</v>
      </c>
      <c r="B296" s="4" t="s">
        <v>17</v>
      </c>
      <c r="C296" s="4" t="s">
        <v>35</v>
      </c>
      <c r="D296" s="14" t="n">
        <v>46103</v>
      </c>
      <c r="E296" s="4" t="n">
        <v>20</v>
      </c>
      <c r="F296" s="4" t="n">
        <v>20.8</v>
      </c>
      <c r="G296" s="4" t="n">
        <v>3.3</v>
      </c>
      <c r="H296" s="4" t="n">
        <v>4.3</v>
      </c>
      <c r="I296" s="4" t="n">
        <v>4.1</v>
      </c>
      <c r="J296" s="4" t="n">
        <v>32.5</v>
      </c>
    </row>
    <row r="297" customFormat="false" ht="15" hidden="false" customHeight="false" outlineLevel="0" collapsed="false">
      <c r="A297" s="4" t="s">
        <v>315</v>
      </c>
      <c r="B297" s="4" t="s">
        <v>20</v>
      </c>
      <c r="C297" s="4" t="s">
        <v>18</v>
      </c>
      <c r="D297" s="14" t="n">
        <v>46157</v>
      </c>
      <c r="E297" s="4" t="n">
        <v>13</v>
      </c>
      <c r="F297" s="4" t="n">
        <v>5.1</v>
      </c>
      <c r="G297" s="4" t="n">
        <v>5.8</v>
      </c>
      <c r="H297" s="4" t="n">
        <v>5</v>
      </c>
      <c r="I297" s="4" t="n">
        <v>6.4</v>
      </c>
      <c r="J297" s="4" t="n">
        <v>22.3</v>
      </c>
    </row>
    <row r="298" customFormat="false" ht="15" hidden="false" customHeight="false" outlineLevel="0" collapsed="false">
      <c r="A298" s="4" t="s">
        <v>316</v>
      </c>
      <c r="B298" s="4" t="s">
        <v>17</v>
      </c>
      <c r="C298" s="4" t="s">
        <v>18</v>
      </c>
      <c r="D298" s="14" t="n">
        <v>46071</v>
      </c>
      <c r="E298" s="4" t="n">
        <v>15</v>
      </c>
      <c r="F298" s="4" t="n">
        <v>22.9</v>
      </c>
      <c r="G298" s="4" t="n">
        <v>3.9</v>
      </c>
      <c r="H298" s="4" t="n">
        <v>12.3</v>
      </c>
      <c r="I298" s="4" t="n">
        <v>6.3</v>
      </c>
      <c r="J298" s="4" t="n">
        <v>45.4</v>
      </c>
    </row>
    <row r="299" customFormat="false" ht="15" hidden="false" customHeight="false" outlineLevel="0" collapsed="false">
      <c r="A299" s="4" t="s">
        <v>317</v>
      </c>
      <c r="B299" s="4" t="s">
        <v>24</v>
      </c>
      <c r="C299" s="4" t="s">
        <v>53</v>
      </c>
      <c r="D299" s="14" t="n">
        <v>46151</v>
      </c>
      <c r="E299" s="4" t="n">
        <v>10</v>
      </c>
      <c r="F299" s="4" t="n">
        <v>7.1</v>
      </c>
      <c r="G299" s="4" t="n">
        <v>7.6</v>
      </c>
      <c r="H299" s="4" t="n">
        <v>10.2</v>
      </c>
      <c r="I299" s="4" t="n">
        <v>4.9</v>
      </c>
      <c r="J299" s="4" t="n">
        <v>29.8</v>
      </c>
    </row>
    <row r="300" customFormat="false" ht="15" hidden="false" customHeight="false" outlineLevel="0" collapsed="false">
      <c r="A300" s="4" t="s">
        <v>318</v>
      </c>
      <c r="B300" s="4" t="s">
        <v>17</v>
      </c>
      <c r="C300" s="4" t="s">
        <v>35</v>
      </c>
      <c r="D300" s="14" t="n">
        <v>46140</v>
      </c>
      <c r="E300" s="4" t="n">
        <v>15</v>
      </c>
      <c r="F300" s="4" t="n">
        <v>25.7</v>
      </c>
      <c r="G300" s="4" t="n">
        <v>10</v>
      </c>
      <c r="H300" s="4" t="n">
        <v>5.4</v>
      </c>
      <c r="I300" s="4" t="n">
        <v>2.2</v>
      </c>
      <c r="J300" s="4" t="n">
        <v>43.3</v>
      </c>
    </row>
    <row r="301" customFormat="false" ht="15" hidden="false" customHeight="false" outlineLevel="0" collapsed="false">
      <c r="A301" s="4" t="s">
        <v>319</v>
      </c>
      <c r="B301" s="4" t="s">
        <v>20</v>
      </c>
      <c r="C301" s="4" t="s">
        <v>18</v>
      </c>
      <c r="D301" s="14" t="n">
        <v>46144</v>
      </c>
      <c r="E301" s="4" t="n">
        <v>15</v>
      </c>
      <c r="F301" s="4" t="n">
        <v>27.7</v>
      </c>
      <c r="G301" s="4" t="n">
        <v>7.5</v>
      </c>
      <c r="H301" s="4" t="n">
        <v>4.2</v>
      </c>
      <c r="I301" s="4" t="n">
        <v>2.8</v>
      </c>
      <c r="J301" s="4" t="n">
        <v>42.2</v>
      </c>
    </row>
    <row r="302" customFormat="false" ht="15" hidden="false" customHeight="false" outlineLevel="0" collapsed="false">
      <c r="A302" s="4" t="s">
        <v>320</v>
      </c>
      <c r="B302" s="4" t="s">
        <v>24</v>
      </c>
      <c r="C302" s="4" t="s">
        <v>35</v>
      </c>
      <c r="D302" s="14" t="n">
        <v>46120</v>
      </c>
      <c r="E302" s="4" t="n">
        <v>15</v>
      </c>
      <c r="F302" s="4" t="n">
        <v>20.4</v>
      </c>
      <c r="G302" s="4" t="n">
        <v>9.2</v>
      </c>
      <c r="H302" s="4" t="n">
        <v>9</v>
      </c>
      <c r="I302" s="4" t="n">
        <v>8.9</v>
      </c>
      <c r="J302" s="4" t="n">
        <v>47.5</v>
      </c>
    </row>
    <row r="303" customFormat="false" ht="15" hidden="false" customHeight="false" outlineLevel="0" collapsed="false">
      <c r="A303" s="4" t="s">
        <v>321</v>
      </c>
      <c r="B303" s="4" t="s">
        <v>20</v>
      </c>
      <c r="C303" s="4" t="s">
        <v>35</v>
      </c>
      <c r="D303" s="14" t="n">
        <v>46090</v>
      </c>
      <c r="E303" s="4" t="n">
        <v>12</v>
      </c>
      <c r="F303" s="4" t="n">
        <v>7.6</v>
      </c>
      <c r="G303" s="4" t="n">
        <v>5.5</v>
      </c>
      <c r="H303" s="4" t="n">
        <v>12</v>
      </c>
      <c r="I303" s="4" t="n">
        <v>5.1</v>
      </c>
      <c r="J303" s="4" t="n">
        <v>30.2</v>
      </c>
    </row>
    <row r="304" customFormat="false" ht="15" hidden="false" customHeight="false" outlineLevel="0" collapsed="false">
      <c r="A304" s="4" t="s">
        <v>322</v>
      </c>
      <c r="B304" s="4" t="s">
        <v>24</v>
      </c>
      <c r="C304" s="4" t="s">
        <v>35</v>
      </c>
      <c r="D304" s="14" t="n">
        <v>46087</v>
      </c>
      <c r="E304" s="4" t="n">
        <v>11</v>
      </c>
      <c r="F304" s="4" t="n">
        <v>8.7</v>
      </c>
      <c r="G304" s="4" t="n">
        <v>5.5</v>
      </c>
      <c r="H304" s="4" t="n">
        <v>10.8</v>
      </c>
      <c r="I304" s="4" t="n">
        <v>6.4</v>
      </c>
      <c r="J304" s="4" t="n">
        <v>31.4</v>
      </c>
    </row>
    <row r="305" customFormat="false" ht="15" hidden="false" customHeight="false" outlineLevel="0" collapsed="false">
      <c r="A305" s="4" t="s">
        <v>323</v>
      </c>
      <c r="B305" s="4" t="s">
        <v>20</v>
      </c>
      <c r="C305" s="4" t="s">
        <v>18</v>
      </c>
      <c r="D305" s="14" t="n">
        <v>46079</v>
      </c>
      <c r="E305" s="4" t="n">
        <v>19</v>
      </c>
      <c r="F305" s="4" t="n">
        <v>20.6</v>
      </c>
      <c r="G305" s="4" t="n">
        <v>5.5</v>
      </c>
      <c r="H305" s="4" t="n">
        <v>6.1</v>
      </c>
      <c r="I305" s="4" t="n">
        <v>5.8</v>
      </c>
      <c r="J305" s="4" t="n">
        <v>38</v>
      </c>
    </row>
    <row r="306" customFormat="false" ht="15" hidden="false" customHeight="false" outlineLevel="0" collapsed="false">
      <c r="A306" s="4" t="s">
        <v>324</v>
      </c>
      <c r="B306" s="4" t="s">
        <v>20</v>
      </c>
      <c r="C306" s="4" t="s">
        <v>35</v>
      </c>
      <c r="D306" s="14" t="n">
        <v>46101</v>
      </c>
      <c r="E306" s="4" t="n">
        <v>16</v>
      </c>
      <c r="F306" s="4" t="n">
        <v>25.1</v>
      </c>
      <c r="G306" s="4" t="n">
        <v>11</v>
      </c>
      <c r="H306" s="4" t="n">
        <v>12</v>
      </c>
      <c r="I306" s="4" t="n">
        <v>2.9</v>
      </c>
      <c r="J306" s="4" t="n">
        <v>51</v>
      </c>
    </row>
    <row r="307" customFormat="false" ht="15" hidden="false" customHeight="false" outlineLevel="0" collapsed="false">
      <c r="A307" s="4" t="s">
        <v>325</v>
      </c>
      <c r="B307" s="4" t="s">
        <v>24</v>
      </c>
      <c r="C307" s="4" t="s">
        <v>18</v>
      </c>
      <c r="D307" s="14" t="n">
        <v>46042</v>
      </c>
      <c r="E307" s="4" t="n">
        <v>21</v>
      </c>
      <c r="F307" s="4" t="n">
        <v>26.6</v>
      </c>
      <c r="G307" s="4" t="n">
        <v>9</v>
      </c>
      <c r="H307" s="4" t="n">
        <v>4.5</v>
      </c>
      <c r="I307" s="4" t="n">
        <v>3</v>
      </c>
      <c r="J307" s="4" t="n">
        <v>43.1</v>
      </c>
    </row>
    <row r="308" customFormat="false" ht="15" hidden="false" customHeight="false" outlineLevel="0" collapsed="false">
      <c r="A308" s="4" t="s">
        <v>326</v>
      </c>
      <c r="B308" s="4" t="s">
        <v>20</v>
      </c>
      <c r="C308" s="4" t="s">
        <v>18</v>
      </c>
      <c r="D308" s="14" t="n">
        <v>46200</v>
      </c>
      <c r="E308" s="4" t="n">
        <v>14</v>
      </c>
      <c r="F308" s="4" t="n">
        <v>25.8</v>
      </c>
      <c r="G308" s="4" t="n">
        <v>4.7</v>
      </c>
      <c r="H308" s="4" t="n">
        <v>7.6</v>
      </c>
      <c r="I308" s="4" t="n">
        <v>5.2</v>
      </c>
      <c r="J308" s="4" t="n">
        <v>43.3</v>
      </c>
    </row>
    <row r="309" customFormat="false" ht="15" hidden="false" customHeight="false" outlineLevel="0" collapsed="false">
      <c r="A309" s="4" t="s">
        <v>327</v>
      </c>
      <c r="B309" s="4" t="s">
        <v>17</v>
      </c>
      <c r="C309" s="4" t="s">
        <v>35</v>
      </c>
      <c r="D309" s="14" t="n">
        <v>46050</v>
      </c>
      <c r="E309" s="4" t="n">
        <v>14</v>
      </c>
      <c r="F309" s="4" t="n">
        <v>22.8</v>
      </c>
      <c r="G309" s="4" t="n">
        <v>11.4</v>
      </c>
      <c r="H309" s="4" t="n">
        <v>7.1</v>
      </c>
      <c r="I309" s="4" t="n">
        <v>8.7</v>
      </c>
      <c r="J309" s="4" t="n">
        <v>50</v>
      </c>
    </row>
    <row r="310" customFormat="false" ht="15" hidden="false" customHeight="false" outlineLevel="0" collapsed="false">
      <c r="A310" s="4" t="s">
        <v>328</v>
      </c>
      <c r="B310" s="4" t="s">
        <v>20</v>
      </c>
      <c r="C310" s="4" t="s">
        <v>18</v>
      </c>
      <c r="D310" s="14" t="n">
        <v>46050</v>
      </c>
      <c r="E310" s="4" t="n">
        <v>18</v>
      </c>
      <c r="F310" s="4" t="n">
        <v>26.3</v>
      </c>
      <c r="G310" s="4" t="n">
        <v>9</v>
      </c>
      <c r="H310" s="4" t="n">
        <v>12.4</v>
      </c>
      <c r="I310" s="4" t="n">
        <v>7.6</v>
      </c>
      <c r="J310" s="4" t="n">
        <v>55.3</v>
      </c>
    </row>
    <row r="311" customFormat="false" ht="15" hidden="false" customHeight="false" outlineLevel="0" collapsed="false">
      <c r="A311" s="4" t="s">
        <v>329</v>
      </c>
      <c r="B311" s="4" t="s">
        <v>20</v>
      </c>
      <c r="C311" s="4" t="s">
        <v>53</v>
      </c>
      <c r="D311" s="14" t="n">
        <v>46081</v>
      </c>
      <c r="E311" s="4" t="n">
        <v>15</v>
      </c>
      <c r="F311" s="4" t="n">
        <v>28.3</v>
      </c>
      <c r="G311" s="4" t="n">
        <v>5.4</v>
      </c>
      <c r="H311" s="4" t="n">
        <v>9.4</v>
      </c>
      <c r="I311" s="4" t="n">
        <v>6</v>
      </c>
      <c r="J311" s="4" t="n">
        <v>49.1</v>
      </c>
    </row>
    <row r="312" customFormat="false" ht="15" hidden="false" customHeight="false" outlineLevel="0" collapsed="false">
      <c r="A312" s="4" t="s">
        <v>330</v>
      </c>
      <c r="B312" s="4" t="s">
        <v>17</v>
      </c>
      <c r="C312" s="4" t="s">
        <v>18</v>
      </c>
      <c r="D312" s="14" t="n">
        <v>46201</v>
      </c>
      <c r="E312" s="4" t="n">
        <v>18</v>
      </c>
      <c r="F312" s="4" t="n">
        <v>21</v>
      </c>
      <c r="G312" s="4" t="n">
        <v>9.8</v>
      </c>
      <c r="H312" s="4" t="n">
        <v>8.1</v>
      </c>
      <c r="I312" s="4" t="n">
        <v>2.9</v>
      </c>
      <c r="J312" s="4" t="n">
        <v>41.8</v>
      </c>
    </row>
    <row r="313" customFormat="false" ht="15" hidden="false" customHeight="false" outlineLevel="0" collapsed="false">
      <c r="A313" s="4" t="s">
        <v>331</v>
      </c>
      <c r="B313" s="4" t="s">
        <v>24</v>
      </c>
      <c r="C313" s="4" t="s">
        <v>18</v>
      </c>
      <c r="D313" s="14" t="n">
        <v>46027</v>
      </c>
      <c r="E313" s="4" t="n">
        <v>21</v>
      </c>
      <c r="F313" s="4" t="n">
        <v>22</v>
      </c>
      <c r="G313" s="4" t="n">
        <v>8.9</v>
      </c>
      <c r="H313" s="4" t="n">
        <v>4.5</v>
      </c>
      <c r="I313" s="4" t="n">
        <v>6.5</v>
      </c>
      <c r="J313" s="4" t="n">
        <v>41.9</v>
      </c>
    </row>
    <row r="314" customFormat="false" ht="15" hidden="false" customHeight="false" outlineLevel="0" collapsed="false">
      <c r="A314" s="4" t="s">
        <v>332</v>
      </c>
      <c r="B314" s="4" t="s">
        <v>20</v>
      </c>
      <c r="C314" s="4" t="s">
        <v>53</v>
      </c>
      <c r="D314" s="14" t="n">
        <v>46097</v>
      </c>
      <c r="E314" s="4" t="n">
        <v>9</v>
      </c>
      <c r="F314" s="4" t="n">
        <v>3.5</v>
      </c>
      <c r="G314" s="4" t="n">
        <v>5.7</v>
      </c>
      <c r="H314" s="4" t="n">
        <v>12.9</v>
      </c>
      <c r="I314" s="4" t="n">
        <v>3.2</v>
      </c>
      <c r="J314" s="4" t="n">
        <v>25.3</v>
      </c>
    </row>
    <row r="315" customFormat="false" ht="15" hidden="false" customHeight="false" outlineLevel="0" collapsed="false">
      <c r="A315" s="4" t="s">
        <v>333</v>
      </c>
      <c r="B315" s="4" t="s">
        <v>20</v>
      </c>
      <c r="C315" s="4" t="s">
        <v>18</v>
      </c>
      <c r="D315" s="14" t="n">
        <v>46206</v>
      </c>
      <c r="E315" s="4" t="n">
        <v>18</v>
      </c>
      <c r="F315" s="4" t="n">
        <v>26.6</v>
      </c>
      <c r="G315" s="4" t="n">
        <v>9</v>
      </c>
      <c r="H315" s="4" t="n">
        <v>3</v>
      </c>
      <c r="I315" s="4" t="n">
        <v>5.3</v>
      </c>
      <c r="J315" s="4" t="n">
        <v>43.9</v>
      </c>
    </row>
    <row r="316" customFormat="false" ht="15" hidden="false" customHeight="false" outlineLevel="0" collapsed="false">
      <c r="A316" s="4" t="s">
        <v>334</v>
      </c>
      <c r="B316" s="4" t="s">
        <v>20</v>
      </c>
      <c r="C316" s="4" t="s">
        <v>18</v>
      </c>
      <c r="D316" s="14" t="n">
        <v>46201</v>
      </c>
      <c r="E316" s="4" t="n">
        <v>14</v>
      </c>
      <c r="F316" s="4" t="n">
        <v>27</v>
      </c>
      <c r="G316" s="4" t="n">
        <v>10.2</v>
      </c>
      <c r="H316" s="4" t="n">
        <v>13.9</v>
      </c>
      <c r="I316" s="4" t="n">
        <v>5</v>
      </c>
      <c r="J316" s="4" t="n">
        <v>56.1</v>
      </c>
    </row>
    <row r="317" customFormat="false" ht="15" hidden="false" customHeight="false" outlineLevel="0" collapsed="false">
      <c r="A317" s="4" t="s">
        <v>335</v>
      </c>
      <c r="B317" s="4" t="s">
        <v>20</v>
      </c>
      <c r="C317" s="4" t="s">
        <v>18</v>
      </c>
      <c r="D317" s="14" t="n">
        <v>46125</v>
      </c>
      <c r="E317" s="4" t="n">
        <v>9</v>
      </c>
      <c r="F317" s="4" t="n">
        <v>2.6</v>
      </c>
      <c r="G317" s="4" t="n">
        <v>5.1</v>
      </c>
      <c r="H317" s="4" t="n">
        <v>12.7</v>
      </c>
      <c r="I317" s="4" t="n">
        <v>3</v>
      </c>
      <c r="J317" s="4" t="n">
        <v>23.4</v>
      </c>
    </row>
    <row r="318" customFormat="false" ht="15" hidden="false" customHeight="false" outlineLevel="0" collapsed="false">
      <c r="A318" s="4" t="s">
        <v>336</v>
      </c>
      <c r="B318" s="4" t="s">
        <v>24</v>
      </c>
      <c r="C318" s="4" t="s">
        <v>35</v>
      </c>
      <c r="D318" s="14" t="n">
        <v>46061</v>
      </c>
      <c r="E318" s="4" t="n">
        <v>16</v>
      </c>
      <c r="F318" s="4" t="n">
        <v>21.4</v>
      </c>
      <c r="G318" s="4" t="n">
        <v>7.3</v>
      </c>
      <c r="H318" s="4" t="n">
        <v>3.1</v>
      </c>
      <c r="I318" s="4" t="n">
        <v>6.6</v>
      </c>
      <c r="J318" s="4" t="n">
        <v>38.4</v>
      </c>
    </row>
    <row r="319" customFormat="false" ht="15" hidden="false" customHeight="false" outlineLevel="0" collapsed="false">
      <c r="A319" s="4" t="s">
        <v>337</v>
      </c>
      <c r="B319" s="4" t="s">
        <v>20</v>
      </c>
      <c r="C319" s="4" t="s">
        <v>35</v>
      </c>
      <c r="D319" s="14" t="n">
        <v>46187</v>
      </c>
      <c r="E319" s="4" t="n">
        <v>18</v>
      </c>
      <c r="F319" s="4" t="n">
        <v>24.1</v>
      </c>
      <c r="G319" s="4" t="n">
        <v>8.9</v>
      </c>
      <c r="H319" s="4" t="n">
        <v>12.5</v>
      </c>
      <c r="I319" s="4" t="n">
        <v>2.6</v>
      </c>
      <c r="J319" s="4" t="n">
        <v>48.1</v>
      </c>
    </row>
    <row r="320" customFormat="false" ht="15" hidden="false" customHeight="false" outlineLevel="0" collapsed="false">
      <c r="A320" s="4" t="s">
        <v>338</v>
      </c>
      <c r="B320" s="4" t="s">
        <v>20</v>
      </c>
      <c r="C320" s="4" t="s">
        <v>35</v>
      </c>
      <c r="D320" s="14" t="n">
        <v>46177</v>
      </c>
      <c r="E320" s="4" t="n">
        <v>18</v>
      </c>
      <c r="F320" s="4" t="n">
        <v>29.6</v>
      </c>
      <c r="G320" s="4" t="n">
        <v>5.1</v>
      </c>
      <c r="H320" s="4" t="n">
        <v>4.5</v>
      </c>
      <c r="I320" s="4" t="n">
        <v>3.9</v>
      </c>
      <c r="J320" s="4" t="n">
        <v>43.1</v>
      </c>
    </row>
    <row r="321" customFormat="false" ht="15" hidden="false" customHeight="false" outlineLevel="0" collapsed="false">
      <c r="A321" s="4" t="s">
        <v>339</v>
      </c>
      <c r="B321" s="4" t="s">
        <v>20</v>
      </c>
      <c r="C321" s="4" t="s">
        <v>18</v>
      </c>
      <c r="D321" s="14" t="n">
        <v>46180</v>
      </c>
      <c r="E321" s="4" t="n">
        <v>18</v>
      </c>
      <c r="F321" s="4" t="n">
        <v>27.8</v>
      </c>
      <c r="G321" s="4" t="n">
        <v>8.9</v>
      </c>
      <c r="H321" s="4" t="n">
        <v>12.3</v>
      </c>
      <c r="I321" s="4" t="n">
        <v>6.6</v>
      </c>
      <c r="J321" s="4" t="n">
        <v>55.6</v>
      </c>
    </row>
    <row r="322" customFormat="false" ht="15" hidden="false" customHeight="false" outlineLevel="0" collapsed="false">
      <c r="A322" s="4" t="s">
        <v>340</v>
      </c>
      <c r="B322" s="4" t="s">
        <v>20</v>
      </c>
      <c r="C322" s="4" t="s">
        <v>18</v>
      </c>
      <c r="D322" s="14" t="n">
        <v>46157</v>
      </c>
      <c r="E322" s="4" t="n">
        <v>11</v>
      </c>
      <c r="F322" s="4" t="n">
        <v>6.4</v>
      </c>
      <c r="G322" s="4" t="n">
        <v>2.5</v>
      </c>
      <c r="H322" s="4" t="n">
        <v>12.9</v>
      </c>
      <c r="I322" s="4" t="n">
        <v>8.7</v>
      </c>
      <c r="J322" s="4" t="n">
        <v>30.5</v>
      </c>
    </row>
    <row r="323" customFormat="false" ht="15" hidden="false" customHeight="false" outlineLevel="0" collapsed="false">
      <c r="A323" s="4" t="s">
        <v>341</v>
      </c>
      <c r="B323" s="4" t="s">
        <v>17</v>
      </c>
      <c r="C323" s="4" t="s">
        <v>18</v>
      </c>
      <c r="D323" s="14" t="n">
        <v>46154</v>
      </c>
      <c r="E323" s="4" t="n">
        <v>16</v>
      </c>
      <c r="F323" s="4" t="n">
        <v>25.3</v>
      </c>
      <c r="G323" s="4" t="n">
        <v>11.8</v>
      </c>
      <c r="H323" s="4" t="n">
        <v>13.9</v>
      </c>
      <c r="I323" s="4" t="n">
        <v>8.5</v>
      </c>
      <c r="J323" s="4" t="n">
        <v>59.5</v>
      </c>
    </row>
    <row r="324" customFormat="false" ht="15" hidden="false" customHeight="false" outlineLevel="0" collapsed="false">
      <c r="A324" s="4" t="s">
        <v>342</v>
      </c>
      <c r="B324" s="4" t="s">
        <v>20</v>
      </c>
      <c r="C324" s="4" t="s">
        <v>35</v>
      </c>
      <c r="D324" s="14" t="n">
        <v>46172</v>
      </c>
      <c r="E324" s="4" t="n">
        <v>14</v>
      </c>
      <c r="F324" s="4" t="n">
        <v>26.8</v>
      </c>
      <c r="G324" s="4" t="n">
        <v>9.6</v>
      </c>
      <c r="H324" s="4" t="n">
        <v>13.5</v>
      </c>
      <c r="I324" s="4" t="n">
        <v>7.4</v>
      </c>
      <c r="J324" s="4" t="n">
        <v>57.3</v>
      </c>
    </row>
    <row r="325" customFormat="false" ht="15" hidden="false" customHeight="false" outlineLevel="0" collapsed="false">
      <c r="A325" s="4" t="s">
        <v>343</v>
      </c>
      <c r="B325" s="4" t="s">
        <v>20</v>
      </c>
      <c r="C325" s="4" t="s">
        <v>18</v>
      </c>
      <c r="D325" s="14" t="n">
        <v>46094</v>
      </c>
      <c r="E325" s="4" t="n">
        <v>11</v>
      </c>
      <c r="F325" s="4" t="n">
        <v>4.5</v>
      </c>
      <c r="G325" s="4" t="n">
        <v>9.9</v>
      </c>
      <c r="H325" s="4" t="n">
        <v>8.6</v>
      </c>
      <c r="I325" s="4" t="n">
        <v>6.4</v>
      </c>
      <c r="J325" s="4" t="n">
        <v>29.4</v>
      </c>
    </row>
    <row r="326" customFormat="false" ht="15" hidden="false" customHeight="false" outlineLevel="0" collapsed="false">
      <c r="A326" s="4" t="s">
        <v>344</v>
      </c>
      <c r="B326" s="4" t="s">
        <v>17</v>
      </c>
      <c r="C326" s="4" t="s">
        <v>18</v>
      </c>
      <c r="D326" s="14" t="n">
        <v>46206</v>
      </c>
      <c r="E326" s="4" t="n">
        <v>14</v>
      </c>
      <c r="F326" s="4" t="n">
        <v>25.4</v>
      </c>
      <c r="G326" s="4" t="n">
        <v>8.2</v>
      </c>
      <c r="H326" s="4" t="n">
        <v>6.1</v>
      </c>
      <c r="I326" s="4" t="n">
        <v>4.2</v>
      </c>
      <c r="J326" s="4" t="n">
        <v>43.9</v>
      </c>
    </row>
    <row r="327" customFormat="false" ht="15" hidden="false" customHeight="false" outlineLevel="0" collapsed="false">
      <c r="A327" s="4" t="s">
        <v>345</v>
      </c>
      <c r="B327" s="4" t="s">
        <v>17</v>
      </c>
      <c r="C327" s="4" t="s">
        <v>18</v>
      </c>
      <c r="D327" s="14" t="n">
        <v>46066</v>
      </c>
      <c r="E327" s="4" t="n">
        <v>15</v>
      </c>
      <c r="F327" s="4" t="n">
        <v>25.9</v>
      </c>
      <c r="G327" s="4" t="n">
        <v>9.6</v>
      </c>
      <c r="H327" s="4" t="n">
        <v>10.1</v>
      </c>
      <c r="I327" s="4" t="n">
        <v>6.5</v>
      </c>
      <c r="J327" s="4" t="n">
        <v>52.1</v>
      </c>
    </row>
    <row r="328" customFormat="false" ht="15" hidden="false" customHeight="false" outlineLevel="0" collapsed="false">
      <c r="A328" s="4" t="s">
        <v>346</v>
      </c>
      <c r="B328" s="4" t="s">
        <v>20</v>
      </c>
      <c r="C328" s="4" t="s">
        <v>18</v>
      </c>
      <c r="D328" s="14" t="n">
        <v>46088</v>
      </c>
      <c r="E328" s="4" t="n">
        <v>8</v>
      </c>
      <c r="F328" s="4" t="n">
        <v>7.5</v>
      </c>
      <c r="G328" s="4" t="n">
        <v>3.2</v>
      </c>
      <c r="H328" s="4" t="n">
        <v>9.7</v>
      </c>
      <c r="I328" s="4" t="n">
        <v>2.4</v>
      </c>
      <c r="J328" s="4" t="n">
        <v>22.8</v>
      </c>
    </row>
    <row r="329" customFormat="false" ht="15" hidden="false" customHeight="false" outlineLevel="0" collapsed="false">
      <c r="A329" s="4" t="s">
        <v>347</v>
      </c>
      <c r="B329" s="4" t="s">
        <v>17</v>
      </c>
      <c r="C329" s="4" t="s">
        <v>18</v>
      </c>
      <c r="D329" s="14" t="n">
        <v>46071</v>
      </c>
      <c r="E329" s="4" t="n">
        <v>10</v>
      </c>
      <c r="F329" s="4" t="n">
        <v>5.1</v>
      </c>
      <c r="G329" s="4" t="n">
        <v>2.1</v>
      </c>
      <c r="H329" s="4" t="n">
        <v>8.5</v>
      </c>
      <c r="I329" s="4" t="n">
        <v>4.4</v>
      </c>
      <c r="J329" s="4" t="n">
        <v>20.1</v>
      </c>
    </row>
    <row r="330" customFormat="false" ht="15" hidden="false" customHeight="false" outlineLevel="0" collapsed="false">
      <c r="A330" s="4" t="s">
        <v>348</v>
      </c>
      <c r="B330" s="4" t="s">
        <v>17</v>
      </c>
      <c r="C330" s="4" t="s">
        <v>35</v>
      </c>
      <c r="D330" s="14" t="n">
        <v>46093</v>
      </c>
      <c r="E330" s="4" t="n">
        <v>10</v>
      </c>
      <c r="F330" s="4" t="n">
        <v>10</v>
      </c>
      <c r="G330" s="4" t="n">
        <v>10.7</v>
      </c>
      <c r="H330" s="4" t="n">
        <v>11.1</v>
      </c>
      <c r="I330" s="4" t="n">
        <v>2.8</v>
      </c>
      <c r="J330" s="4" t="n">
        <v>34.6</v>
      </c>
    </row>
    <row r="331" customFormat="false" ht="15" hidden="false" customHeight="false" outlineLevel="0" collapsed="false">
      <c r="A331" s="4" t="s">
        <v>349</v>
      </c>
      <c r="B331" s="4" t="s">
        <v>24</v>
      </c>
      <c r="C331" s="4" t="s">
        <v>18</v>
      </c>
      <c r="D331" s="14" t="n">
        <v>46136</v>
      </c>
      <c r="E331" s="4" t="n">
        <v>12</v>
      </c>
      <c r="F331" s="4" t="n">
        <v>6.1</v>
      </c>
      <c r="G331" s="4" t="n">
        <v>11.8</v>
      </c>
      <c r="H331" s="4" t="n">
        <v>9.9</v>
      </c>
      <c r="I331" s="4" t="n">
        <v>5.5</v>
      </c>
      <c r="J331" s="4" t="n">
        <v>33.3</v>
      </c>
    </row>
    <row r="332" customFormat="false" ht="15" hidden="false" customHeight="false" outlineLevel="0" collapsed="false">
      <c r="A332" s="4" t="s">
        <v>350</v>
      </c>
      <c r="B332" s="4" t="s">
        <v>17</v>
      </c>
      <c r="C332" s="4" t="s">
        <v>18</v>
      </c>
      <c r="D332" s="14" t="n">
        <v>46172</v>
      </c>
      <c r="E332" s="4" t="n">
        <v>10</v>
      </c>
      <c r="F332" s="4" t="n">
        <v>6</v>
      </c>
      <c r="G332" s="4" t="n">
        <v>3</v>
      </c>
      <c r="H332" s="4" t="n">
        <v>9.3</v>
      </c>
      <c r="I332" s="4" t="n">
        <v>7.1</v>
      </c>
      <c r="J332" s="4" t="n">
        <v>25.4</v>
      </c>
    </row>
    <row r="333" customFormat="false" ht="15" hidden="false" customHeight="false" outlineLevel="0" collapsed="false">
      <c r="A333" s="4" t="s">
        <v>351</v>
      </c>
      <c r="B333" s="4" t="s">
        <v>20</v>
      </c>
      <c r="C333" s="4" t="s">
        <v>18</v>
      </c>
      <c r="D333" s="14" t="n">
        <v>46038</v>
      </c>
      <c r="E333" s="4" t="n">
        <v>19</v>
      </c>
      <c r="F333" s="4" t="n">
        <v>22.4</v>
      </c>
      <c r="G333" s="4" t="n">
        <v>6.7</v>
      </c>
      <c r="H333" s="4" t="n">
        <v>7.2</v>
      </c>
      <c r="I333" s="4" t="n">
        <v>3.1</v>
      </c>
      <c r="J333" s="4" t="n">
        <v>39.4</v>
      </c>
    </row>
    <row r="334" customFormat="false" ht="15" hidden="false" customHeight="false" outlineLevel="0" collapsed="false">
      <c r="A334" s="4" t="s">
        <v>352</v>
      </c>
      <c r="B334" s="4" t="s">
        <v>24</v>
      </c>
      <c r="C334" s="4" t="s">
        <v>35</v>
      </c>
      <c r="D334" s="14" t="n">
        <v>46168</v>
      </c>
      <c r="E334" s="4" t="n">
        <v>19</v>
      </c>
      <c r="F334" s="4" t="n">
        <v>27.4</v>
      </c>
      <c r="G334" s="4" t="n">
        <v>6.2</v>
      </c>
      <c r="H334" s="4" t="n">
        <v>6.5</v>
      </c>
      <c r="I334" s="4" t="n">
        <v>4.9</v>
      </c>
      <c r="J334" s="4" t="n">
        <v>45</v>
      </c>
    </row>
    <row r="335" customFormat="false" ht="15" hidden="false" customHeight="false" outlineLevel="0" collapsed="false">
      <c r="A335" s="4" t="s">
        <v>353</v>
      </c>
      <c r="B335" s="4" t="s">
        <v>17</v>
      </c>
      <c r="C335" s="4" t="s">
        <v>18</v>
      </c>
      <c r="D335" s="14" t="n">
        <v>46046</v>
      </c>
      <c r="E335" s="4" t="n">
        <v>16</v>
      </c>
      <c r="F335" s="4" t="n">
        <v>25</v>
      </c>
      <c r="G335" s="4" t="n">
        <v>11</v>
      </c>
      <c r="H335" s="4" t="n">
        <v>5</v>
      </c>
      <c r="I335" s="4" t="n">
        <v>7.6</v>
      </c>
      <c r="J335" s="4" t="n">
        <v>48.6</v>
      </c>
    </row>
    <row r="336" customFormat="false" ht="15" hidden="false" customHeight="false" outlineLevel="0" collapsed="false">
      <c r="A336" s="4" t="s">
        <v>354</v>
      </c>
      <c r="B336" s="4" t="s">
        <v>24</v>
      </c>
      <c r="C336" s="4" t="s">
        <v>53</v>
      </c>
      <c r="D336" s="14" t="n">
        <v>46044</v>
      </c>
      <c r="E336" s="4" t="n">
        <v>19</v>
      </c>
      <c r="F336" s="4" t="n">
        <v>22.8</v>
      </c>
      <c r="G336" s="4" t="n">
        <v>10.4</v>
      </c>
      <c r="H336" s="4" t="n">
        <v>6.6</v>
      </c>
      <c r="I336" s="4" t="n">
        <v>5.9</v>
      </c>
      <c r="J336" s="4" t="n">
        <v>45.7</v>
      </c>
    </row>
    <row r="337" customFormat="false" ht="15" hidden="false" customHeight="false" outlineLevel="0" collapsed="false">
      <c r="A337" s="4" t="s">
        <v>355</v>
      </c>
      <c r="B337" s="4" t="s">
        <v>20</v>
      </c>
      <c r="C337" s="4" t="s">
        <v>18</v>
      </c>
      <c r="D337" s="14" t="n">
        <v>46171</v>
      </c>
      <c r="E337" s="4" t="n">
        <v>18</v>
      </c>
      <c r="F337" s="4" t="n">
        <v>26.2</v>
      </c>
      <c r="G337" s="4" t="n">
        <v>6.6</v>
      </c>
      <c r="H337" s="4" t="n">
        <v>9.5</v>
      </c>
      <c r="I337" s="4" t="n">
        <v>5.5</v>
      </c>
      <c r="J337" s="4" t="n">
        <v>47.8</v>
      </c>
    </row>
    <row r="338" customFormat="false" ht="15" hidden="false" customHeight="false" outlineLevel="0" collapsed="false">
      <c r="A338" s="4" t="s">
        <v>356</v>
      </c>
      <c r="B338" s="4" t="s">
        <v>24</v>
      </c>
      <c r="C338" s="4" t="s">
        <v>18</v>
      </c>
      <c r="D338" s="14" t="n">
        <v>46166</v>
      </c>
      <c r="E338" s="4" t="n">
        <v>18</v>
      </c>
      <c r="F338" s="4" t="n">
        <v>21.5</v>
      </c>
      <c r="G338" s="4" t="n">
        <v>11.3</v>
      </c>
      <c r="H338" s="4" t="n">
        <v>3.3</v>
      </c>
      <c r="I338" s="4" t="n">
        <v>5.8</v>
      </c>
      <c r="J338" s="4" t="n">
        <v>41.9</v>
      </c>
    </row>
    <row r="339" customFormat="false" ht="15" hidden="false" customHeight="false" outlineLevel="0" collapsed="false">
      <c r="A339" s="4" t="s">
        <v>357</v>
      </c>
      <c r="B339" s="4" t="s">
        <v>17</v>
      </c>
      <c r="C339" s="4" t="s">
        <v>18</v>
      </c>
      <c r="D339" s="14" t="n">
        <v>46029</v>
      </c>
      <c r="E339" s="4" t="n">
        <v>20</v>
      </c>
      <c r="F339" s="4" t="n">
        <v>27.6</v>
      </c>
      <c r="G339" s="4" t="n">
        <v>5.8</v>
      </c>
      <c r="H339" s="4" t="n">
        <v>11.1</v>
      </c>
      <c r="I339" s="4" t="n">
        <v>4.2</v>
      </c>
      <c r="J339" s="4" t="n">
        <v>48.7</v>
      </c>
    </row>
    <row r="340" customFormat="false" ht="15" hidden="false" customHeight="false" outlineLevel="0" collapsed="false">
      <c r="A340" s="4" t="s">
        <v>358</v>
      </c>
      <c r="B340" s="4" t="s">
        <v>20</v>
      </c>
      <c r="C340" s="4" t="s">
        <v>53</v>
      </c>
      <c r="D340" s="14" t="n">
        <v>46134</v>
      </c>
      <c r="E340" s="4" t="n">
        <v>15</v>
      </c>
      <c r="F340" s="4" t="n">
        <v>29.7</v>
      </c>
      <c r="G340" s="4" t="n">
        <v>3.4</v>
      </c>
      <c r="H340" s="4" t="n">
        <v>6.1</v>
      </c>
      <c r="I340" s="4" t="n">
        <v>2.3</v>
      </c>
      <c r="J340" s="4" t="n">
        <v>41.5</v>
      </c>
    </row>
    <row r="341" customFormat="false" ht="15" hidden="false" customHeight="false" outlineLevel="0" collapsed="false">
      <c r="A341" s="4" t="s">
        <v>359</v>
      </c>
      <c r="B341" s="4" t="s">
        <v>20</v>
      </c>
      <c r="C341" s="4" t="s">
        <v>35</v>
      </c>
      <c r="D341" s="14" t="n">
        <v>46132</v>
      </c>
      <c r="E341" s="4" t="n">
        <v>17</v>
      </c>
      <c r="F341" s="4" t="n">
        <v>24.6</v>
      </c>
      <c r="G341" s="4" t="n">
        <v>9.5</v>
      </c>
      <c r="H341" s="4" t="n">
        <v>9.4</v>
      </c>
      <c r="I341" s="4" t="n">
        <v>5.5</v>
      </c>
      <c r="J341" s="4" t="n">
        <v>49</v>
      </c>
    </row>
    <row r="342" customFormat="false" ht="15" hidden="false" customHeight="false" outlineLevel="0" collapsed="false">
      <c r="A342" s="4" t="s">
        <v>360</v>
      </c>
      <c r="B342" s="4" t="s">
        <v>17</v>
      </c>
      <c r="C342" s="4" t="s">
        <v>18</v>
      </c>
      <c r="D342" s="14" t="n">
        <v>46178</v>
      </c>
      <c r="E342" s="4" t="n">
        <v>15</v>
      </c>
      <c r="F342" s="4" t="n">
        <v>26.6</v>
      </c>
      <c r="G342" s="4" t="n">
        <v>3.3</v>
      </c>
      <c r="H342" s="4" t="n">
        <v>6.2</v>
      </c>
      <c r="I342" s="4" t="n">
        <v>8</v>
      </c>
      <c r="J342" s="4" t="n">
        <v>44.1</v>
      </c>
    </row>
    <row r="343" customFormat="false" ht="15" hidden="false" customHeight="false" outlineLevel="0" collapsed="false">
      <c r="A343" s="4" t="s">
        <v>361</v>
      </c>
      <c r="B343" s="4" t="s">
        <v>24</v>
      </c>
      <c r="C343" s="4" t="s">
        <v>18</v>
      </c>
      <c r="D343" s="14" t="n">
        <v>46110</v>
      </c>
      <c r="E343" s="4" t="n">
        <v>13</v>
      </c>
      <c r="F343" s="4" t="n">
        <v>5.9</v>
      </c>
      <c r="G343" s="4" t="n">
        <v>11.4</v>
      </c>
      <c r="H343" s="4" t="n">
        <v>4.5</v>
      </c>
      <c r="I343" s="4" t="n">
        <v>7.4</v>
      </c>
      <c r="J343" s="4" t="n">
        <v>29.2</v>
      </c>
    </row>
    <row r="344" customFormat="false" ht="15" hidden="false" customHeight="false" outlineLevel="0" collapsed="false">
      <c r="A344" s="4" t="s">
        <v>362</v>
      </c>
      <c r="B344" s="4" t="s">
        <v>20</v>
      </c>
      <c r="C344" s="4" t="s">
        <v>18</v>
      </c>
      <c r="D344" s="14" t="n">
        <v>46142</v>
      </c>
      <c r="E344" s="4" t="n">
        <v>14</v>
      </c>
      <c r="F344" s="4" t="n">
        <v>21.2</v>
      </c>
      <c r="G344" s="4" t="n">
        <v>5.6</v>
      </c>
      <c r="H344" s="4" t="n">
        <v>11.5</v>
      </c>
      <c r="I344" s="4" t="n">
        <v>5.2</v>
      </c>
      <c r="J344" s="4" t="n">
        <v>43.5</v>
      </c>
    </row>
    <row r="345" customFormat="false" ht="15" hidden="false" customHeight="false" outlineLevel="0" collapsed="false">
      <c r="A345" s="4" t="s">
        <v>363</v>
      </c>
      <c r="B345" s="4" t="s">
        <v>17</v>
      </c>
      <c r="C345" s="4" t="s">
        <v>35</v>
      </c>
      <c r="D345" s="14" t="n">
        <v>46050</v>
      </c>
      <c r="E345" s="4" t="n">
        <v>10</v>
      </c>
      <c r="F345" s="4" t="n">
        <v>6.4</v>
      </c>
      <c r="G345" s="4" t="n">
        <v>9</v>
      </c>
      <c r="H345" s="4" t="n">
        <v>9.6</v>
      </c>
      <c r="I345" s="4" t="n">
        <v>3.5</v>
      </c>
      <c r="J345" s="4" t="n">
        <v>28.5</v>
      </c>
    </row>
    <row r="346" customFormat="false" ht="15" hidden="false" customHeight="false" outlineLevel="0" collapsed="false">
      <c r="A346" s="4" t="s">
        <v>364</v>
      </c>
      <c r="B346" s="4" t="s">
        <v>24</v>
      </c>
      <c r="C346" s="4" t="s">
        <v>18</v>
      </c>
      <c r="D346" s="14" t="n">
        <v>46090</v>
      </c>
      <c r="E346" s="4" t="n">
        <v>21</v>
      </c>
      <c r="F346" s="4" t="n">
        <v>25.1</v>
      </c>
      <c r="G346" s="4" t="n">
        <v>8.8</v>
      </c>
      <c r="H346" s="4" t="n">
        <v>5.9</v>
      </c>
      <c r="I346" s="4" t="n">
        <v>8.9</v>
      </c>
      <c r="J346" s="4" t="n">
        <v>48.7</v>
      </c>
    </row>
    <row r="347" customFormat="false" ht="15" hidden="false" customHeight="false" outlineLevel="0" collapsed="false">
      <c r="A347" s="4" t="s">
        <v>365</v>
      </c>
      <c r="B347" s="4" t="s">
        <v>20</v>
      </c>
      <c r="C347" s="4" t="s">
        <v>18</v>
      </c>
      <c r="D347" s="14" t="n">
        <v>46142</v>
      </c>
      <c r="E347" s="4" t="n">
        <v>15</v>
      </c>
      <c r="F347" s="4" t="n">
        <v>22.5</v>
      </c>
      <c r="G347" s="4" t="n">
        <v>6.6</v>
      </c>
      <c r="H347" s="4" t="n">
        <v>11.8</v>
      </c>
      <c r="I347" s="4" t="n">
        <v>3</v>
      </c>
      <c r="J347" s="4" t="n">
        <v>43.9</v>
      </c>
    </row>
    <row r="348" customFormat="false" ht="15" hidden="false" customHeight="false" outlineLevel="0" collapsed="false">
      <c r="A348" s="4" t="s">
        <v>366</v>
      </c>
      <c r="B348" s="4" t="s">
        <v>20</v>
      </c>
      <c r="C348" s="4" t="s">
        <v>35</v>
      </c>
      <c r="D348" s="14" t="n">
        <v>46083</v>
      </c>
      <c r="E348" s="4" t="n">
        <v>10</v>
      </c>
      <c r="F348" s="4" t="n">
        <v>7.2</v>
      </c>
      <c r="G348" s="4" t="n">
        <v>8.9</v>
      </c>
      <c r="H348" s="4" t="n">
        <v>13.3</v>
      </c>
      <c r="I348" s="4" t="n">
        <v>2.6</v>
      </c>
      <c r="J348" s="4" t="n">
        <v>32</v>
      </c>
    </row>
    <row r="349" customFormat="false" ht="15" hidden="false" customHeight="false" outlineLevel="0" collapsed="false">
      <c r="A349" s="4" t="s">
        <v>367</v>
      </c>
      <c r="B349" s="4" t="s">
        <v>17</v>
      </c>
      <c r="C349" s="4" t="s">
        <v>53</v>
      </c>
      <c r="D349" s="14" t="n">
        <v>46046</v>
      </c>
      <c r="E349" s="4" t="n">
        <v>7</v>
      </c>
      <c r="F349" s="4" t="n">
        <v>3.2</v>
      </c>
      <c r="G349" s="4" t="n">
        <v>8.5</v>
      </c>
      <c r="H349" s="4" t="n">
        <v>11.9</v>
      </c>
      <c r="I349" s="4" t="n">
        <v>2.6</v>
      </c>
      <c r="J349" s="4" t="n">
        <v>26.2</v>
      </c>
    </row>
    <row r="350" customFormat="false" ht="15" hidden="false" customHeight="false" outlineLevel="0" collapsed="false">
      <c r="A350" s="4" t="s">
        <v>368</v>
      </c>
      <c r="B350" s="4" t="s">
        <v>24</v>
      </c>
      <c r="C350" s="4" t="s">
        <v>35</v>
      </c>
      <c r="D350" s="14" t="n">
        <v>46058</v>
      </c>
      <c r="E350" s="4" t="n">
        <v>8</v>
      </c>
      <c r="F350" s="4" t="n">
        <v>2.3</v>
      </c>
      <c r="G350" s="4" t="n">
        <v>11.2</v>
      </c>
      <c r="H350" s="4" t="n">
        <v>7.8</v>
      </c>
      <c r="I350" s="4" t="n">
        <v>7.1</v>
      </c>
      <c r="J350" s="4" t="n">
        <v>28.4</v>
      </c>
    </row>
    <row r="351" customFormat="false" ht="15" hidden="false" customHeight="false" outlineLevel="0" collapsed="false">
      <c r="A351" s="4" t="s">
        <v>369</v>
      </c>
      <c r="B351" s="4" t="s">
        <v>17</v>
      </c>
      <c r="C351" s="4" t="s">
        <v>18</v>
      </c>
      <c r="D351" s="14" t="n">
        <v>46136</v>
      </c>
      <c r="E351" s="4" t="n">
        <v>11</v>
      </c>
      <c r="F351" s="4" t="n">
        <v>11.3</v>
      </c>
      <c r="G351" s="4" t="n">
        <v>4.7</v>
      </c>
      <c r="H351" s="4" t="n">
        <v>7.9</v>
      </c>
      <c r="I351" s="4" t="n">
        <v>3</v>
      </c>
      <c r="J351" s="4" t="n">
        <v>26.9</v>
      </c>
    </row>
    <row r="352" customFormat="false" ht="15" hidden="false" customHeight="false" outlineLevel="0" collapsed="false">
      <c r="A352" s="4" t="s">
        <v>370</v>
      </c>
      <c r="B352" s="4" t="s">
        <v>17</v>
      </c>
      <c r="C352" s="4" t="s">
        <v>18</v>
      </c>
      <c r="D352" s="14" t="n">
        <v>46192</v>
      </c>
      <c r="E352" s="4" t="n">
        <v>12</v>
      </c>
      <c r="F352" s="4" t="n">
        <v>11.1</v>
      </c>
      <c r="G352" s="4" t="n">
        <v>6.8</v>
      </c>
      <c r="H352" s="4" t="n">
        <v>4</v>
      </c>
      <c r="I352" s="4" t="n">
        <v>4.7</v>
      </c>
      <c r="J352" s="4" t="n">
        <v>26.6</v>
      </c>
    </row>
    <row r="353" customFormat="false" ht="15" hidden="false" customHeight="false" outlineLevel="0" collapsed="false">
      <c r="A353" s="4" t="s">
        <v>371</v>
      </c>
      <c r="B353" s="4" t="s">
        <v>20</v>
      </c>
      <c r="C353" s="4" t="s">
        <v>18</v>
      </c>
      <c r="D353" s="14" t="n">
        <v>46161</v>
      </c>
      <c r="E353" s="4" t="n">
        <v>12</v>
      </c>
      <c r="F353" s="4" t="n">
        <v>8.3</v>
      </c>
      <c r="G353" s="4" t="n">
        <v>2.2</v>
      </c>
      <c r="H353" s="4" t="n">
        <v>7.2</v>
      </c>
      <c r="I353" s="4" t="n">
        <v>7</v>
      </c>
      <c r="J353" s="4" t="n">
        <v>24.7</v>
      </c>
    </row>
    <row r="354" customFormat="false" ht="15" hidden="false" customHeight="false" outlineLevel="0" collapsed="false">
      <c r="A354" s="4" t="s">
        <v>372</v>
      </c>
      <c r="B354" s="4" t="s">
        <v>17</v>
      </c>
      <c r="C354" s="4" t="s">
        <v>35</v>
      </c>
      <c r="D354" s="14" t="n">
        <v>46115</v>
      </c>
      <c r="E354" s="4" t="n">
        <v>20</v>
      </c>
      <c r="F354" s="4" t="n">
        <v>23.2</v>
      </c>
      <c r="G354" s="4" t="n">
        <v>4.7</v>
      </c>
      <c r="H354" s="4" t="n">
        <v>3.3</v>
      </c>
      <c r="I354" s="4" t="n">
        <v>6.2</v>
      </c>
      <c r="J354" s="4" t="n">
        <v>37.4</v>
      </c>
    </row>
    <row r="355" customFormat="false" ht="15" hidden="false" customHeight="false" outlineLevel="0" collapsed="false">
      <c r="A355" s="4" t="s">
        <v>373</v>
      </c>
      <c r="B355" s="4" t="s">
        <v>20</v>
      </c>
      <c r="C355" s="4" t="s">
        <v>35</v>
      </c>
      <c r="D355" s="14" t="n">
        <v>46098</v>
      </c>
      <c r="E355" s="4" t="n">
        <v>8</v>
      </c>
      <c r="F355" s="4" t="n">
        <v>5.2</v>
      </c>
      <c r="G355" s="4" t="n">
        <v>9.7</v>
      </c>
      <c r="H355" s="4" t="n">
        <v>14</v>
      </c>
      <c r="I355" s="4" t="n">
        <v>8.8</v>
      </c>
      <c r="J355" s="4" t="n">
        <v>37.7</v>
      </c>
    </row>
    <row r="356" customFormat="false" ht="15" hidden="false" customHeight="false" outlineLevel="0" collapsed="false">
      <c r="A356" s="4" t="s">
        <v>374</v>
      </c>
      <c r="B356" s="4" t="s">
        <v>20</v>
      </c>
      <c r="C356" s="4" t="s">
        <v>18</v>
      </c>
      <c r="D356" s="14" t="n">
        <v>46095</v>
      </c>
      <c r="E356" s="4" t="n">
        <v>15</v>
      </c>
      <c r="F356" s="4" t="n">
        <v>29.2</v>
      </c>
      <c r="G356" s="4" t="n">
        <v>2.6</v>
      </c>
      <c r="H356" s="4" t="n">
        <v>14</v>
      </c>
      <c r="I356" s="4" t="n">
        <v>3.5</v>
      </c>
      <c r="J356" s="4" t="n">
        <v>49.3</v>
      </c>
    </row>
    <row r="357" customFormat="false" ht="15" hidden="false" customHeight="false" outlineLevel="0" collapsed="false">
      <c r="A357" s="4" t="s">
        <v>375</v>
      </c>
      <c r="B357" s="4" t="s">
        <v>24</v>
      </c>
      <c r="C357" s="4" t="s">
        <v>35</v>
      </c>
      <c r="D357" s="14" t="n">
        <v>46117</v>
      </c>
      <c r="E357" s="4" t="n">
        <v>20</v>
      </c>
      <c r="F357" s="4" t="n">
        <v>21.7</v>
      </c>
      <c r="G357" s="4" t="n">
        <v>4.4</v>
      </c>
      <c r="H357" s="4" t="n">
        <v>6.5</v>
      </c>
      <c r="I357" s="4" t="n">
        <v>7.2</v>
      </c>
      <c r="J357" s="4" t="n">
        <v>39.8</v>
      </c>
    </row>
    <row r="358" customFormat="false" ht="15" hidden="false" customHeight="false" outlineLevel="0" collapsed="false">
      <c r="A358" s="4" t="s">
        <v>376</v>
      </c>
      <c r="B358" s="4" t="s">
        <v>20</v>
      </c>
      <c r="C358" s="4" t="s">
        <v>18</v>
      </c>
      <c r="D358" s="14" t="n">
        <v>46206</v>
      </c>
      <c r="E358" s="4" t="n">
        <v>13</v>
      </c>
      <c r="F358" s="4" t="n">
        <v>8.5</v>
      </c>
      <c r="G358" s="4" t="n">
        <v>7.6</v>
      </c>
      <c r="H358" s="4" t="n">
        <v>5.1</v>
      </c>
      <c r="I358" s="4" t="n">
        <v>8.9</v>
      </c>
      <c r="J358" s="4" t="n">
        <v>30.1</v>
      </c>
    </row>
    <row r="359" customFormat="false" ht="15" hidden="false" customHeight="false" outlineLevel="0" collapsed="false">
      <c r="A359" s="4" t="s">
        <v>377</v>
      </c>
      <c r="B359" s="4" t="s">
        <v>24</v>
      </c>
      <c r="C359" s="4" t="s">
        <v>18</v>
      </c>
      <c r="D359" s="14" t="n">
        <v>46106</v>
      </c>
      <c r="E359" s="4" t="n">
        <v>11</v>
      </c>
      <c r="F359" s="4" t="n">
        <v>4.7</v>
      </c>
      <c r="G359" s="4" t="n">
        <v>4.3</v>
      </c>
      <c r="H359" s="4" t="n">
        <v>5.4</v>
      </c>
      <c r="I359" s="4" t="n">
        <v>5.7</v>
      </c>
      <c r="J359" s="4" t="n">
        <v>20.1</v>
      </c>
    </row>
    <row r="360" customFormat="false" ht="15" hidden="false" customHeight="false" outlineLevel="0" collapsed="false">
      <c r="A360" s="4" t="s">
        <v>378</v>
      </c>
      <c r="B360" s="4" t="s">
        <v>20</v>
      </c>
      <c r="C360" s="4" t="s">
        <v>53</v>
      </c>
      <c r="D360" s="14" t="n">
        <v>46078</v>
      </c>
      <c r="E360" s="4" t="n">
        <v>19</v>
      </c>
      <c r="F360" s="4" t="n">
        <v>27.2</v>
      </c>
      <c r="G360" s="4" t="n">
        <v>11.2</v>
      </c>
      <c r="H360" s="4" t="n">
        <v>12.3</v>
      </c>
      <c r="I360" s="4" t="n">
        <v>4.3</v>
      </c>
      <c r="J360" s="4" t="n">
        <v>55</v>
      </c>
    </row>
    <row r="361" customFormat="false" ht="15" hidden="false" customHeight="false" outlineLevel="0" collapsed="false">
      <c r="A361" s="4" t="s">
        <v>379</v>
      </c>
      <c r="B361" s="4" t="s">
        <v>20</v>
      </c>
      <c r="C361" s="4" t="s">
        <v>18</v>
      </c>
      <c r="D361" s="14" t="n">
        <v>46063</v>
      </c>
      <c r="E361" s="4" t="n">
        <v>18</v>
      </c>
      <c r="F361" s="4" t="n">
        <v>25.3</v>
      </c>
      <c r="G361" s="4" t="n">
        <v>5.6</v>
      </c>
      <c r="H361" s="4" t="n">
        <v>3.8</v>
      </c>
      <c r="I361" s="4" t="n">
        <v>6.9</v>
      </c>
      <c r="J361" s="4" t="n">
        <v>41.6</v>
      </c>
    </row>
    <row r="362" customFormat="false" ht="15" hidden="false" customHeight="false" outlineLevel="0" collapsed="false">
      <c r="A362" s="4" t="s">
        <v>380</v>
      </c>
      <c r="B362" s="4" t="s">
        <v>17</v>
      </c>
      <c r="C362" s="4" t="s">
        <v>18</v>
      </c>
      <c r="D362" s="14" t="n">
        <v>46113</v>
      </c>
      <c r="E362" s="4" t="n">
        <v>12</v>
      </c>
      <c r="F362" s="4" t="n">
        <v>11.8</v>
      </c>
      <c r="G362" s="4" t="n">
        <v>9.3</v>
      </c>
      <c r="H362" s="4" t="n">
        <v>7.8</v>
      </c>
      <c r="I362" s="4" t="n">
        <v>6.5</v>
      </c>
      <c r="J362" s="4" t="n">
        <v>35.4</v>
      </c>
    </row>
    <row r="363" customFormat="false" ht="15" hidden="false" customHeight="false" outlineLevel="0" collapsed="false">
      <c r="A363" s="4" t="s">
        <v>381</v>
      </c>
      <c r="B363" s="4" t="s">
        <v>17</v>
      </c>
      <c r="C363" s="4" t="s">
        <v>18</v>
      </c>
      <c r="D363" s="14" t="n">
        <v>46170</v>
      </c>
      <c r="E363" s="4" t="n">
        <v>17</v>
      </c>
      <c r="F363" s="4" t="n">
        <v>26.1</v>
      </c>
      <c r="G363" s="4" t="n">
        <v>5.6</v>
      </c>
      <c r="H363" s="4" t="n">
        <v>10.3</v>
      </c>
      <c r="I363" s="4" t="n">
        <v>7.7</v>
      </c>
      <c r="J363" s="4" t="n">
        <v>49.7</v>
      </c>
    </row>
    <row r="364" customFormat="false" ht="15" hidden="false" customHeight="false" outlineLevel="0" collapsed="false">
      <c r="A364" s="4" t="s">
        <v>382</v>
      </c>
      <c r="B364" s="4" t="s">
        <v>20</v>
      </c>
      <c r="C364" s="4" t="s">
        <v>35</v>
      </c>
      <c r="D364" s="14" t="n">
        <v>46102</v>
      </c>
      <c r="E364" s="4" t="n">
        <v>10</v>
      </c>
      <c r="F364" s="4" t="n">
        <v>4</v>
      </c>
      <c r="G364" s="4" t="n">
        <v>9</v>
      </c>
      <c r="H364" s="4" t="n">
        <v>9.3</v>
      </c>
      <c r="I364" s="4" t="n">
        <v>8</v>
      </c>
      <c r="J364" s="4" t="n">
        <v>30.3</v>
      </c>
    </row>
    <row r="365" customFormat="false" ht="15" hidden="false" customHeight="false" outlineLevel="0" collapsed="false">
      <c r="A365" s="4" t="s">
        <v>383</v>
      </c>
      <c r="B365" s="4" t="s">
        <v>24</v>
      </c>
      <c r="C365" s="4" t="s">
        <v>18</v>
      </c>
      <c r="D365" s="14" t="n">
        <v>46073</v>
      </c>
      <c r="E365" s="4" t="n">
        <v>16</v>
      </c>
      <c r="F365" s="4" t="n">
        <v>28.1</v>
      </c>
      <c r="G365" s="4" t="n">
        <v>8.1</v>
      </c>
      <c r="H365" s="4" t="n">
        <v>10</v>
      </c>
      <c r="I365" s="4" t="n">
        <v>2.7</v>
      </c>
      <c r="J365" s="4" t="n">
        <v>48.9</v>
      </c>
    </row>
    <row r="366" customFormat="false" ht="15" hidden="false" customHeight="false" outlineLevel="0" collapsed="false">
      <c r="A366" s="4" t="s">
        <v>384</v>
      </c>
      <c r="B366" s="4" t="s">
        <v>17</v>
      </c>
      <c r="C366" s="4" t="s">
        <v>18</v>
      </c>
      <c r="D366" s="14" t="n">
        <v>46046</v>
      </c>
      <c r="E366" s="4" t="n">
        <v>12</v>
      </c>
      <c r="F366" s="4" t="n">
        <v>5.3</v>
      </c>
      <c r="G366" s="4" t="n">
        <v>10.9</v>
      </c>
      <c r="H366" s="4" t="n">
        <v>4</v>
      </c>
      <c r="I366" s="4" t="n">
        <v>7</v>
      </c>
      <c r="J366" s="4" t="n">
        <v>27.2</v>
      </c>
    </row>
    <row r="367" customFormat="false" ht="15" hidden="false" customHeight="false" outlineLevel="0" collapsed="false">
      <c r="A367" s="4" t="s">
        <v>385</v>
      </c>
      <c r="B367" s="4" t="s">
        <v>17</v>
      </c>
      <c r="C367" s="4" t="s">
        <v>35</v>
      </c>
      <c r="D367" s="14" t="n">
        <v>46141</v>
      </c>
      <c r="E367" s="4" t="n">
        <v>7</v>
      </c>
      <c r="F367" s="4" t="n">
        <v>3.5</v>
      </c>
      <c r="G367" s="4" t="n">
        <v>2.7</v>
      </c>
      <c r="H367" s="4" t="n">
        <v>5.8</v>
      </c>
      <c r="I367" s="4" t="n">
        <v>2.8</v>
      </c>
      <c r="J367" s="4" t="n">
        <v>14.8</v>
      </c>
    </row>
    <row r="368" customFormat="false" ht="15" hidden="false" customHeight="false" outlineLevel="0" collapsed="false">
      <c r="A368" s="4" t="s">
        <v>386</v>
      </c>
      <c r="B368" s="4" t="s">
        <v>20</v>
      </c>
      <c r="C368" s="4" t="s">
        <v>18</v>
      </c>
      <c r="D368" s="14" t="n">
        <v>46134</v>
      </c>
      <c r="E368" s="4" t="n">
        <v>21</v>
      </c>
      <c r="F368" s="4" t="n">
        <v>24.1</v>
      </c>
      <c r="G368" s="4" t="n">
        <v>10.8</v>
      </c>
      <c r="H368" s="4" t="n">
        <v>6.9</v>
      </c>
      <c r="I368" s="4" t="n">
        <v>4.6</v>
      </c>
      <c r="J368" s="4" t="n">
        <v>46.4</v>
      </c>
    </row>
    <row r="369" customFormat="false" ht="15" hidden="false" customHeight="false" outlineLevel="0" collapsed="false">
      <c r="A369" s="4" t="s">
        <v>387</v>
      </c>
      <c r="B369" s="4" t="s">
        <v>24</v>
      </c>
      <c r="C369" s="4" t="s">
        <v>35</v>
      </c>
      <c r="D369" s="14" t="n">
        <v>46174</v>
      </c>
      <c r="E369" s="4" t="n">
        <v>17</v>
      </c>
      <c r="F369" s="4" t="n">
        <v>22.3</v>
      </c>
      <c r="G369" s="4" t="n">
        <v>6.5</v>
      </c>
      <c r="H369" s="4" t="n">
        <v>11.8</v>
      </c>
      <c r="I369" s="4" t="n">
        <v>2.2</v>
      </c>
      <c r="J369" s="4" t="n">
        <v>42.8</v>
      </c>
    </row>
    <row r="370" customFormat="false" ht="15" hidden="false" customHeight="false" outlineLevel="0" collapsed="false">
      <c r="A370" s="4" t="s">
        <v>388</v>
      </c>
      <c r="B370" s="4" t="s">
        <v>20</v>
      </c>
      <c r="C370" s="4" t="s">
        <v>18</v>
      </c>
      <c r="D370" s="14" t="n">
        <v>46053</v>
      </c>
      <c r="E370" s="4" t="n">
        <v>9</v>
      </c>
      <c r="F370" s="4" t="n">
        <v>7.3</v>
      </c>
      <c r="G370" s="4" t="n">
        <v>3.6</v>
      </c>
      <c r="H370" s="4" t="n">
        <v>3.8</v>
      </c>
      <c r="I370" s="4" t="n">
        <v>8.6</v>
      </c>
      <c r="J370" s="4" t="n">
        <v>23.3</v>
      </c>
    </row>
    <row r="371" customFormat="false" ht="15" hidden="false" customHeight="false" outlineLevel="0" collapsed="false">
      <c r="A371" s="4" t="s">
        <v>389</v>
      </c>
      <c r="B371" s="4" t="s">
        <v>24</v>
      </c>
      <c r="C371" s="4" t="s">
        <v>18</v>
      </c>
      <c r="D371" s="14" t="n">
        <v>46184</v>
      </c>
      <c r="E371" s="4" t="n">
        <v>20</v>
      </c>
      <c r="F371" s="4" t="n">
        <v>20.3</v>
      </c>
      <c r="G371" s="4" t="n">
        <v>11.4</v>
      </c>
      <c r="H371" s="4" t="n">
        <v>4.8</v>
      </c>
      <c r="I371" s="4" t="n">
        <v>8.2</v>
      </c>
      <c r="J371" s="4" t="n">
        <v>44.7</v>
      </c>
    </row>
    <row r="372" customFormat="false" ht="15" hidden="false" customHeight="false" outlineLevel="0" collapsed="false">
      <c r="A372" s="4" t="s">
        <v>390</v>
      </c>
      <c r="B372" s="4" t="s">
        <v>20</v>
      </c>
      <c r="C372" s="4" t="s">
        <v>18</v>
      </c>
      <c r="D372" s="14" t="n">
        <v>46079</v>
      </c>
      <c r="E372" s="4" t="n">
        <v>21</v>
      </c>
      <c r="F372" s="4" t="n">
        <v>27</v>
      </c>
      <c r="G372" s="4" t="n">
        <v>9.2</v>
      </c>
      <c r="H372" s="4" t="n">
        <v>11</v>
      </c>
      <c r="I372" s="4" t="n">
        <v>3.9</v>
      </c>
      <c r="J372" s="4" t="n">
        <v>51.1</v>
      </c>
    </row>
    <row r="373" customFormat="false" ht="15" hidden="false" customHeight="false" outlineLevel="0" collapsed="false">
      <c r="A373" s="4" t="s">
        <v>391</v>
      </c>
      <c r="B373" s="4" t="s">
        <v>20</v>
      </c>
      <c r="C373" s="4" t="s">
        <v>18</v>
      </c>
      <c r="D373" s="14" t="n">
        <v>46039</v>
      </c>
      <c r="E373" s="4" t="n">
        <v>14</v>
      </c>
      <c r="F373" s="4" t="n">
        <v>28.4</v>
      </c>
      <c r="G373" s="4" t="n">
        <v>3.5</v>
      </c>
      <c r="H373" s="4" t="n">
        <v>7</v>
      </c>
      <c r="I373" s="4" t="n">
        <v>5</v>
      </c>
      <c r="J373" s="4" t="n">
        <v>43.9</v>
      </c>
    </row>
    <row r="374" customFormat="false" ht="15" hidden="false" customHeight="false" outlineLevel="0" collapsed="false">
      <c r="A374" s="4" t="s">
        <v>392</v>
      </c>
      <c r="B374" s="4" t="s">
        <v>20</v>
      </c>
      <c r="C374" s="4" t="s">
        <v>18</v>
      </c>
      <c r="D374" s="14" t="n">
        <v>46180</v>
      </c>
      <c r="E374" s="4" t="n">
        <v>14</v>
      </c>
      <c r="F374" s="4" t="n">
        <v>20.3</v>
      </c>
      <c r="G374" s="4" t="n">
        <v>3.7</v>
      </c>
      <c r="H374" s="4" t="n">
        <v>6.2</v>
      </c>
      <c r="I374" s="4" t="n">
        <v>2.6</v>
      </c>
      <c r="J374" s="4" t="n">
        <v>32.8</v>
      </c>
    </row>
    <row r="375" customFormat="false" ht="15" hidden="false" customHeight="false" outlineLevel="0" collapsed="false">
      <c r="A375" s="4" t="s">
        <v>393</v>
      </c>
      <c r="B375" s="4" t="s">
        <v>24</v>
      </c>
      <c r="C375" s="4" t="s">
        <v>18</v>
      </c>
      <c r="D375" s="14" t="n">
        <v>46128</v>
      </c>
      <c r="E375" s="4" t="n">
        <v>14</v>
      </c>
      <c r="F375" s="4" t="n">
        <v>26.6</v>
      </c>
      <c r="G375" s="4" t="n">
        <v>2.9</v>
      </c>
      <c r="H375" s="4" t="n">
        <v>9</v>
      </c>
      <c r="I375" s="4" t="n">
        <v>3.3</v>
      </c>
      <c r="J375" s="4" t="n">
        <v>41.8</v>
      </c>
    </row>
    <row r="376" customFormat="false" ht="15" hidden="false" customHeight="false" outlineLevel="0" collapsed="false">
      <c r="A376" s="4" t="s">
        <v>394</v>
      </c>
      <c r="B376" s="4" t="s">
        <v>24</v>
      </c>
      <c r="C376" s="4" t="s">
        <v>18</v>
      </c>
      <c r="D376" s="14" t="n">
        <v>46141</v>
      </c>
      <c r="E376" s="4" t="n">
        <v>8</v>
      </c>
      <c r="F376" s="4" t="n">
        <v>4.8</v>
      </c>
      <c r="G376" s="4" t="n">
        <v>4.3</v>
      </c>
      <c r="H376" s="4" t="n">
        <v>6</v>
      </c>
      <c r="I376" s="4" t="n">
        <v>2.4</v>
      </c>
      <c r="J376" s="4" t="n">
        <v>17.5</v>
      </c>
    </row>
    <row r="377" customFormat="false" ht="15" hidden="false" customHeight="false" outlineLevel="0" collapsed="false">
      <c r="A377" s="4" t="s">
        <v>395</v>
      </c>
      <c r="B377" s="4" t="s">
        <v>24</v>
      </c>
      <c r="C377" s="4" t="s">
        <v>18</v>
      </c>
      <c r="D377" s="14" t="n">
        <v>46048</v>
      </c>
      <c r="E377" s="4" t="n">
        <v>17</v>
      </c>
      <c r="F377" s="4" t="n">
        <v>25.4</v>
      </c>
      <c r="G377" s="4" t="n">
        <v>11.7</v>
      </c>
      <c r="H377" s="4" t="n">
        <v>9.5</v>
      </c>
      <c r="I377" s="4" t="n">
        <v>5.9</v>
      </c>
      <c r="J377" s="4" t="n">
        <v>52.5</v>
      </c>
    </row>
    <row r="378" customFormat="false" ht="15" hidden="false" customHeight="false" outlineLevel="0" collapsed="false">
      <c r="A378" s="4" t="s">
        <v>396</v>
      </c>
      <c r="B378" s="4" t="s">
        <v>24</v>
      </c>
      <c r="C378" s="4" t="s">
        <v>35</v>
      </c>
      <c r="D378" s="14" t="n">
        <v>46134</v>
      </c>
      <c r="E378" s="4" t="n">
        <v>21</v>
      </c>
      <c r="F378" s="4" t="n">
        <v>28.7</v>
      </c>
      <c r="G378" s="4" t="n">
        <v>6.7</v>
      </c>
      <c r="H378" s="4" t="n">
        <v>12.7</v>
      </c>
      <c r="I378" s="4" t="n">
        <v>5.3</v>
      </c>
      <c r="J378" s="4" t="n">
        <v>53.4</v>
      </c>
    </row>
    <row r="379" customFormat="false" ht="15" hidden="false" customHeight="false" outlineLevel="0" collapsed="false">
      <c r="A379" s="4" t="s">
        <v>397</v>
      </c>
      <c r="B379" s="4" t="s">
        <v>20</v>
      </c>
      <c r="C379" s="4" t="s">
        <v>53</v>
      </c>
      <c r="D379" s="14" t="n">
        <v>46035</v>
      </c>
      <c r="E379" s="4" t="n">
        <v>15</v>
      </c>
      <c r="F379" s="4" t="n">
        <v>25.2</v>
      </c>
      <c r="G379" s="4" t="n">
        <v>7.7</v>
      </c>
      <c r="H379" s="4" t="n">
        <v>13.8</v>
      </c>
      <c r="I379" s="4" t="n">
        <v>3</v>
      </c>
      <c r="J379" s="4" t="n">
        <v>49.7</v>
      </c>
    </row>
    <row r="380" customFormat="false" ht="15" hidden="false" customHeight="false" outlineLevel="0" collapsed="false">
      <c r="A380" s="4" t="s">
        <v>398</v>
      </c>
      <c r="B380" s="4" t="s">
        <v>24</v>
      </c>
      <c r="C380" s="4" t="s">
        <v>18</v>
      </c>
      <c r="D380" s="14" t="n">
        <v>46069</v>
      </c>
      <c r="E380" s="4" t="n">
        <v>21</v>
      </c>
      <c r="F380" s="4" t="n">
        <v>21.9</v>
      </c>
      <c r="G380" s="4" t="n">
        <v>2.4</v>
      </c>
      <c r="H380" s="4" t="n">
        <v>3.9</v>
      </c>
      <c r="I380" s="4" t="n">
        <v>6.8</v>
      </c>
      <c r="J380" s="4" t="n">
        <v>35</v>
      </c>
    </row>
    <row r="381" customFormat="false" ht="15" hidden="false" customHeight="false" outlineLevel="0" collapsed="false">
      <c r="A381" s="4" t="s">
        <v>399</v>
      </c>
      <c r="B381" s="4" t="s">
        <v>20</v>
      </c>
      <c r="C381" s="4" t="s">
        <v>35</v>
      </c>
      <c r="D381" s="14" t="n">
        <v>46064</v>
      </c>
      <c r="E381" s="4" t="n">
        <v>19</v>
      </c>
      <c r="F381" s="4" t="n">
        <v>23.2</v>
      </c>
      <c r="G381" s="4" t="n">
        <v>9.3</v>
      </c>
      <c r="H381" s="4" t="n">
        <v>11.9</v>
      </c>
      <c r="I381" s="4" t="n">
        <v>2.6</v>
      </c>
      <c r="J381" s="4" t="n">
        <v>47</v>
      </c>
    </row>
    <row r="382" customFormat="false" ht="15" hidden="false" customHeight="false" outlineLevel="0" collapsed="false">
      <c r="A382" s="4" t="s">
        <v>400</v>
      </c>
      <c r="B382" s="4" t="s">
        <v>17</v>
      </c>
      <c r="C382" s="4" t="s">
        <v>18</v>
      </c>
      <c r="D382" s="14" t="n">
        <v>46097</v>
      </c>
      <c r="E382" s="4" t="n">
        <v>15</v>
      </c>
      <c r="F382" s="4" t="n">
        <v>28.7</v>
      </c>
      <c r="G382" s="4" t="n">
        <v>9.9</v>
      </c>
      <c r="H382" s="4" t="n">
        <v>9.9</v>
      </c>
      <c r="I382" s="4" t="n">
        <v>5.7</v>
      </c>
      <c r="J382" s="4" t="n">
        <v>54.2</v>
      </c>
    </row>
    <row r="383" customFormat="false" ht="15" hidden="false" customHeight="false" outlineLevel="0" collapsed="false">
      <c r="A383" s="4" t="s">
        <v>401</v>
      </c>
      <c r="B383" s="4" t="s">
        <v>20</v>
      </c>
      <c r="C383" s="4" t="s">
        <v>18</v>
      </c>
      <c r="D383" s="14" t="n">
        <v>46064</v>
      </c>
      <c r="E383" s="4" t="n">
        <v>15</v>
      </c>
      <c r="F383" s="4" t="n">
        <v>27.6</v>
      </c>
      <c r="G383" s="4" t="n">
        <v>11.4</v>
      </c>
      <c r="H383" s="4" t="n">
        <v>13.2</v>
      </c>
      <c r="I383" s="4" t="n">
        <v>5.9</v>
      </c>
      <c r="J383" s="4" t="n">
        <v>58.1</v>
      </c>
    </row>
    <row r="384" customFormat="false" ht="15" hidden="false" customHeight="false" outlineLevel="0" collapsed="false">
      <c r="A384" s="4" t="s">
        <v>402</v>
      </c>
      <c r="B384" s="4" t="s">
        <v>20</v>
      </c>
      <c r="C384" s="4" t="s">
        <v>18</v>
      </c>
      <c r="D384" s="14" t="n">
        <v>46164</v>
      </c>
      <c r="E384" s="4" t="n">
        <v>19</v>
      </c>
      <c r="F384" s="4" t="n">
        <v>24.1</v>
      </c>
      <c r="G384" s="4" t="n">
        <v>5.8</v>
      </c>
      <c r="H384" s="4" t="n">
        <v>8.3</v>
      </c>
      <c r="I384" s="4" t="n">
        <v>6.3</v>
      </c>
      <c r="J384" s="4" t="n">
        <v>44.5</v>
      </c>
    </row>
    <row r="385" customFormat="false" ht="15" hidden="false" customHeight="false" outlineLevel="0" collapsed="false">
      <c r="A385" s="4" t="s">
        <v>403</v>
      </c>
      <c r="B385" s="4" t="s">
        <v>20</v>
      </c>
      <c r="C385" s="4" t="s">
        <v>18</v>
      </c>
      <c r="D385" s="14" t="n">
        <v>46063</v>
      </c>
      <c r="E385" s="4" t="n">
        <v>16</v>
      </c>
      <c r="F385" s="4" t="n">
        <v>26.9</v>
      </c>
      <c r="G385" s="4" t="n">
        <v>2.4</v>
      </c>
      <c r="H385" s="4" t="n">
        <v>12.8</v>
      </c>
      <c r="I385" s="4" t="n">
        <v>4.3</v>
      </c>
      <c r="J385" s="4" t="n">
        <v>46.4</v>
      </c>
    </row>
    <row r="386" customFormat="false" ht="15" hidden="false" customHeight="false" outlineLevel="0" collapsed="false">
      <c r="A386" s="4" t="s">
        <v>404</v>
      </c>
      <c r="B386" s="4" t="s">
        <v>20</v>
      </c>
      <c r="C386" s="4" t="s">
        <v>35</v>
      </c>
      <c r="D386" s="14" t="n">
        <v>46095</v>
      </c>
      <c r="E386" s="4" t="n">
        <v>20</v>
      </c>
      <c r="F386" s="4" t="n">
        <v>23.4</v>
      </c>
      <c r="G386" s="4" t="n">
        <v>9.9</v>
      </c>
      <c r="H386" s="4" t="n">
        <v>6.4</v>
      </c>
      <c r="I386" s="4" t="n">
        <v>7.9</v>
      </c>
      <c r="J386" s="4" t="n">
        <v>47.6</v>
      </c>
    </row>
    <row r="387" customFormat="false" ht="15" hidden="false" customHeight="false" outlineLevel="0" collapsed="false">
      <c r="A387" s="4" t="s">
        <v>405</v>
      </c>
      <c r="B387" s="4" t="s">
        <v>24</v>
      </c>
      <c r="C387" s="4" t="s">
        <v>18</v>
      </c>
      <c r="D387" s="14" t="n">
        <v>46085</v>
      </c>
      <c r="E387" s="4" t="n">
        <v>10</v>
      </c>
      <c r="F387" s="4" t="n">
        <v>7.5</v>
      </c>
      <c r="G387" s="4" t="n">
        <v>10.3</v>
      </c>
      <c r="H387" s="4" t="n">
        <v>6</v>
      </c>
      <c r="I387" s="4" t="n">
        <v>4.9</v>
      </c>
      <c r="J387" s="4" t="n">
        <v>28.7</v>
      </c>
    </row>
    <row r="388" customFormat="false" ht="15" hidden="false" customHeight="false" outlineLevel="0" collapsed="false">
      <c r="A388" s="4" t="s">
        <v>406</v>
      </c>
      <c r="B388" s="4" t="s">
        <v>17</v>
      </c>
      <c r="C388" s="4" t="s">
        <v>18</v>
      </c>
      <c r="D388" s="14" t="n">
        <v>46081</v>
      </c>
      <c r="E388" s="4" t="n">
        <v>20</v>
      </c>
      <c r="F388" s="4" t="n">
        <v>27.4</v>
      </c>
      <c r="G388" s="4" t="n">
        <v>9.6</v>
      </c>
      <c r="H388" s="4" t="n">
        <v>12.5</v>
      </c>
      <c r="I388" s="4" t="n">
        <v>7.7</v>
      </c>
      <c r="J388" s="4" t="n">
        <v>57.2</v>
      </c>
    </row>
    <row r="389" customFormat="false" ht="15" hidden="false" customHeight="false" outlineLevel="0" collapsed="false">
      <c r="A389" s="4" t="s">
        <v>407</v>
      </c>
      <c r="B389" s="4" t="s">
        <v>17</v>
      </c>
      <c r="C389" s="4" t="s">
        <v>18</v>
      </c>
      <c r="D389" s="14" t="n">
        <v>46106</v>
      </c>
      <c r="E389" s="4" t="n">
        <v>17</v>
      </c>
      <c r="F389" s="4" t="n">
        <v>21.4</v>
      </c>
      <c r="G389" s="4" t="n">
        <v>10.5</v>
      </c>
      <c r="H389" s="4" t="n">
        <v>12.7</v>
      </c>
      <c r="I389" s="4" t="n">
        <v>2.2</v>
      </c>
      <c r="J389" s="4" t="n">
        <v>46.8</v>
      </c>
    </row>
    <row r="390" customFormat="false" ht="15" hidden="false" customHeight="false" outlineLevel="0" collapsed="false">
      <c r="A390" s="4" t="s">
        <v>408</v>
      </c>
      <c r="B390" s="4" t="s">
        <v>20</v>
      </c>
      <c r="C390" s="4" t="s">
        <v>35</v>
      </c>
      <c r="D390" s="14" t="n">
        <v>46041</v>
      </c>
      <c r="E390" s="4" t="n">
        <v>12</v>
      </c>
      <c r="F390" s="4" t="n">
        <v>4.4</v>
      </c>
      <c r="G390" s="4" t="n">
        <v>5.6</v>
      </c>
      <c r="H390" s="4" t="n">
        <v>5.2</v>
      </c>
      <c r="I390" s="4" t="n">
        <v>4.6</v>
      </c>
      <c r="J390" s="4" t="n">
        <v>19.8</v>
      </c>
    </row>
    <row r="391" customFormat="false" ht="15" hidden="false" customHeight="false" outlineLevel="0" collapsed="false">
      <c r="A391" s="4" t="s">
        <v>409</v>
      </c>
      <c r="B391" s="4" t="s">
        <v>17</v>
      </c>
      <c r="C391" s="4" t="s">
        <v>18</v>
      </c>
      <c r="D391" s="14" t="n">
        <v>46058</v>
      </c>
      <c r="E391" s="4" t="n">
        <v>17</v>
      </c>
      <c r="F391" s="4" t="n">
        <v>23.7</v>
      </c>
      <c r="G391" s="4" t="n">
        <v>7.9</v>
      </c>
      <c r="H391" s="4" t="n">
        <v>5</v>
      </c>
      <c r="I391" s="4" t="n">
        <v>8.1</v>
      </c>
      <c r="J391" s="4" t="n">
        <v>44.7</v>
      </c>
    </row>
    <row r="392" customFormat="false" ht="15" hidden="false" customHeight="false" outlineLevel="0" collapsed="false">
      <c r="A392" s="4" t="s">
        <v>410</v>
      </c>
      <c r="B392" s="4" t="s">
        <v>17</v>
      </c>
      <c r="C392" s="4" t="s">
        <v>18</v>
      </c>
      <c r="D392" s="14" t="n">
        <v>46068</v>
      </c>
      <c r="E392" s="4" t="n">
        <v>19</v>
      </c>
      <c r="F392" s="4" t="n">
        <v>27.5</v>
      </c>
      <c r="G392" s="4" t="n">
        <v>8.9</v>
      </c>
      <c r="H392" s="4" t="n">
        <v>6.1</v>
      </c>
      <c r="I392" s="4" t="n">
        <v>4.7</v>
      </c>
      <c r="J392" s="4" t="n">
        <v>47.2</v>
      </c>
    </row>
    <row r="393" customFormat="false" ht="15" hidden="false" customHeight="false" outlineLevel="0" collapsed="false">
      <c r="A393" s="4" t="s">
        <v>411</v>
      </c>
      <c r="B393" s="4" t="s">
        <v>20</v>
      </c>
      <c r="C393" s="4" t="s">
        <v>18</v>
      </c>
      <c r="D393" s="14" t="n">
        <v>46081</v>
      </c>
      <c r="E393" s="4" t="n">
        <v>19</v>
      </c>
      <c r="F393" s="4" t="n">
        <v>22.3</v>
      </c>
      <c r="G393" s="4" t="n">
        <v>4.1</v>
      </c>
      <c r="H393" s="4" t="n">
        <v>10.2</v>
      </c>
      <c r="I393" s="4" t="n">
        <v>5.6</v>
      </c>
      <c r="J393" s="4" t="n">
        <v>42.2</v>
      </c>
    </row>
    <row r="394" customFormat="false" ht="15" hidden="false" customHeight="false" outlineLevel="0" collapsed="false">
      <c r="A394" s="4" t="s">
        <v>412</v>
      </c>
      <c r="B394" s="4" t="s">
        <v>24</v>
      </c>
      <c r="C394" s="4" t="s">
        <v>53</v>
      </c>
      <c r="D394" s="14" t="n">
        <v>46201</v>
      </c>
      <c r="E394" s="4" t="n">
        <v>7</v>
      </c>
      <c r="F394" s="4" t="n">
        <v>2.8</v>
      </c>
      <c r="G394" s="4" t="n">
        <v>3.7</v>
      </c>
      <c r="H394" s="4" t="n">
        <v>11.8</v>
      </c>
      <c r="I394" s="4" t="n">
        <v>3.6</v>
      </c>
      <c r="J394" s="4" t="n">
        <v>21.9</v>
      </c>
    </row>
    <row r="395" customFormat="false" ht="15" hidden="false" customHeight="false" outlineLevel="0" collapsed="false">
      <c r="A395" s="4" t="s">
        <v>413</v>
      </c>
      <c r="B395" s="4" t="s">
        <v>17</v>
      </c>
      <c r="C395" s="4" t="s">
        <v>53</v>
      </c>
      <c r="D395" s="14" t="n">
        <v>46191</v>
      </c>
      <c r="E395" s="4" t="n">
        <v>12</v>
      </c>
      <c r="F395" s="4" t="n">
        <v>7</v>
      </c>
      <c r="G395" s="4" t="n">
        <v>5.5</v>
      </c>
      <c r="H395" s="4" t="n">
        <v>5.8</v>
      </c>
      <c r="I395" s="4" t="n">
        <v>5.3</v>
      </c>
      <c r="J395" s="4" t="n">
        <v>23.6</v>
      </c>
    </row>
    <row r="396" customFormat="false" ht="15" hidden="false" customHeight="false" outlineLevel="0" collapsed="false">
      <c r="A396" s="4" t="s">
        <v>414</v>
      </c>
      <c r="B396" s="4" t="s">
        <v>17</v>
      </c>
      <c r="C396" s="4" t="s">
        <v>35</v>
      </c>
      <c r="D396" s="14" t="n">
        <v>46128</v>
      </c>
      <c r="E396" s="4" t="n">
        <v>16</v>
      </c>
      <c r="F396" s="4" t="n">
        <v>25.1</v>
      </c>
      <c r="G396" s="4" t="n">
        <v>8.6</v>
      </c>
      <c r="H396" s="4" t="n">
        <v>12.3</v>
      </c>
      <c r="I396" s="4" t="n">
        <v>4.6</v>
      </c>
      <c r="J396" s="4" t="n">
        <v>50.6</v>
      </c>
    </row>
    <row r="397" customFormat="false" ht="15" hidden="false" customHeight="false" outlineLevel="0" collapsed="false">
      <c r="A397" s="4" t="s">
        <v>415</v>
      </c>
      <c r="B397" s="4" t="s">
        <v>17</v>
      </c>
      <c r="C397" s="4" t="s">
        <v>18</v>
      </c>
      <c r="D397" s="14" t="n">
        <v>46103</v>
      </c>
      <c r="E397" s="4" t="n">
        <v>17</v>
      </c>
      <c r="F397" s="4" t="n">
        <v>20.6</v>
      </c>
      <c r="G397" s="4" t="n">
        <v>11.9</v>
      </c>
      <c r="H397" s="4" t="n">
        <v>10</v>
      </c>
      <c r="I397" s="4" t="n">
        <v>8</v>
      </c>
      <c r="J397" s="4" t="n">
        <v>50.5</v>
      </c>
    </row>
    <row r="398" customFormat="false" ht="15" hidden="false" customHeight="false" outlineLevel="0" collapsed="false">
      <c r="A398" s="4" t="s">
        <v>416</v>
      </c>
      <c r="B398" s="4" t="s">
        <v>20</v>
      </c>
      <c r="C398" s="4" t="s">
        <v>35</v>
      </c>
      <c r="D398" s="14" t="n">
        <v>46193</v>
      </c>
      <c r="E398" s="4" t="n">
        <v>12</v>
      </c>
      <c r="F398" s="4" t="n">
        <v>8.1</v>
      </c>
      <c r="G398" s="4" t="n">
        <v>4.4</v>
      </c>
      <c r="H398" s="4" t="n">
        <v>3.6</v>
      </c>
      <c r="I398" s="4" t="n">
        <v>8</v>
      </c>
      <c r="J398" s="4" t="n">
        <v>24.1</v>
      </c>
    </row>
    <row r="399" customFormat="false" ht="15" hidden="false" customHeight="false" outlineLevel="0" collapsed="false">
      <c r="A399" s="4" t="s">
        <v>417</v>
      </c>
      <c r="B399" s="4" t="s">
        <v>24</v>
      </c>
      <c r="C399" s="4" t="s">
        <v>18</v>
      </c>
      <c r="D399" s="14" t="n">
        <v>46108</v>
      </c>
      <c r="E399" s="4" t="n">
        <v>17</v>
      </c>
      <c r="F399" s="4" t="n">
        <v>20.3</v>
      </c>
      <c r="G399" s="4" t="n">
        <v>7</v>
      </c>
      <c r="H399" s="4" t="n">
        <v>6.3</v>
      </c>
      <c r="I399" s="4" t="n">
        <v>8.3</v>
      </c>
      <c r="J399" s="4" t="n">
        <v>41.9</v>
      </c>
    </row>
    <row r="400" customFormat="false" ht="15" hidden="false" customHeight="false" outlineLevel="0" collapsed="false">
      <c r="A400" s="4" t="s">
        <v>418</v>
      </c>
      <c r="B400" s="4" t="s">
        <v>20</v>
      </c>
      <c r="C400" s="4" t="s">
        <v>35</v>
      </c>
      <c r="D400" s="14" t="n">
        <v>46176</v>
      </c>
      <c r="E400" s="4" t="n">
        <v>17</v>
      </c>
      <c r="F400" s="4" t="n">
        <v>28.2</v>
      </c>
      <c r="G400" s="4" t="n">
        <v>5.4</v>
      </c>
      <c r="H400" s="4" t="n">
        <v>10.8</v>
      </c>
      <c r="I400" s="4" t="n">
        <v>6.8</v>
      </c>
      <c r="J400" s="4" t="n">
        <v>51.2</v>
      </c>
    </row>
    <row r="401" customFormat="false" ht="15" hidden="false" customHeight="false" outlineLevel="0" collapsed="false">
      <c r="A401" s="4" t="s">
        <v>419</v>
      </c>
      <c r="B401" s="4" t="s">
        <v>17</v>
      </c>
      <c r="C401" s="4" t="s">
        <v>18</v>
      </c>
      <c r="D401" s="14" t="n">
        <v>46198</v>
      </c>
      <c r="E401" s="4" t="n">
        <v>13</v>
      </c>
      <c r="F401" s="4" t="n">
        <v>10.8</v>
      </c>
      <c r="G401" s="4" t="n">
        <v>10.4</v>
      </c>
      <c r="H401" s="4" t="n">
        <v>12.6</v>
      </c>
      <c r="I401" s="4" t="n">
        <v>3.3</v>
      </c>
      <c r="J401" s="4" t="n">
        <v>37.1</v>
      </c>
    </row>
    <row r="402" customFormat="false" ht="15" hidden="false" customHeight="false" outlineLevel="0" collapsed="false">
      <c r="A402" s="4" t="s">
        <v>420</v>
      </c>
      <c r="B402" s="4" t="s">
        <v>20</v>
      </c>
      <c r="C402" s="4" t="s">
        <v>18</v>
      </c>
      <c r="D402" s="14" t="n">
        <v>46093</v>
      </c>
      <c r="E402" s="4" t="n">
        <v>18</v>
      </c>
      <c r="F402" s="4" t="n">
        <v>27.6</v>
      </c>
      <c r="G402" s="4" t="n">
        <v>3.8</v>
      </c>
      <c r="H402" s="4" t="n">
        <v>10.5</v>
      </c>
      <c r="I402" s="4" t="n">
        <v>4.3</v>
      </c>
      <c r="J402" s="4" t="n">
        <v>46.2</v>
      </c>
    </row>
    <row r="403" customFormat="false" ht="15" hidden="false" customHeight="false" outlineLevel="0" collapsed="false">
      <c r="A403" s="4" t="s">
        <v>421</v>
      </c>
      <c r="B403" s="4" t="s">
        <v>20</v>
      </c>
      <c r="C403" s="4" t="s">
        <v>18</v>
      </c>
      <c r="D403" s="14" t="n">
        <v>46105</v>
      </c>
      <c r="E403" s="4" t="n">
        <v>14</v>
      </c>
      <c r="F403" s="4" t="n">
        <v>23.3</v>
      </c>
      <c r="G403" s="4" t="n">
        <v>4.6</v>
      </c>
      <c r="H403" s="4" t="n">
        <v>6.2</v>
      </c>
      <c r="I403" s="4" t="n">
        <v>8</v>
      </c>
      <c r="J403" s="4" t="n">
        <v>42.1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2026-08-04T20:30:43Z</dcterms:created>
  <dc:creator>openpyxl</dc:creator>
  <dc:description/>
  <dc:language>en-US</dc:language>
  <cp:lastModifiedBy/>
  <dcterms:modified xsi:type="dcterms:W3CDTF">2026-08-04T20:30:51Z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